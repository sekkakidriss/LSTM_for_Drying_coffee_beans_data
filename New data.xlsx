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ova DH200X" sheetId="1" state="visible" r:id="rId3"/>
    <sheet name="Genova IoT" sheetId="2" state="visible" r:id="rId4"/>
    <sheet name="Alban DH200X" sheetId="3" state="visible" r:id="rId5"/>
    <sheet name="Alban IoT" sheetId="4" state="visible" r:id="rId6"/>
    <sheet name="Sandona DH200X" sheetId="5" state="visible" r:id="rId7"/>
    <sheet name="Sandona Io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<sst xmlns="http://schemas.openxmlformats.org/spreadsheetml/2006/main" count="1179" uniqueCount="181">
  <si>
    <t xml:space="preserve">Day</t>
  </si>
  <si>
    <t xml:space="preserve">Hour</t>
  </si>
  <si>
    <t xml:space="preserve">Section</t>
  </si>
  <si>
    <t xml:space="preserve">Temperature_Overall</t>
  </si>
  <si>
    <t xml:space="preserve">Humidity_Overall</t>
  </si>
  <si>
    <t xml:space="preserve">Humedity_Coffee</t>
  </si>
  <si>
    <t xml:space="preserve">Temperature_Coffee</t>
  </si>
  <si>
    <t xml:space="preserve">M1 Superior  </t>
  </si>
  <si>
    <t xml:space="preserve">M2 Medio</t>
  </si>
  <si>
    <t xml:space="preserve">M3 Inferior</t>
  </si>
  <si>
    <t xml:space="preserve">M1 Superior </t>
  </si>
  <si>
    <t xml:space="preserve">Updated_Coffee_humidity</t>
  </si>
  <si>
    <t xml:space="preserve">10/26/2025</t>
  </si>
  <si>
    <t xml:space="preserve">10/27/2025</t>
  </si>
  <si>
    <t xml:space="preserve">10/28/2025</t>
  </si>
  <si>
    <t xml:space="preserve">10/29/2025</t>
  </si>
  <si>
    <t xml:space="preserve">10/30/2025</t>
  </si>
  <si>
    <t xml:space="preserve">22.10</t>
  </si>
  <si>
    <t xml:space="preserve">87.10</t>
  </si>
  <si>
    <t xml:space="preserve">100.00</t>
  </si>
  <si>
    <t xml:space="preserve">25.00</t>
  </si>
  <si>
    <t xml:space="preserve">92.50</t>
  </si>
  <si>
    <t xml:space="preserve">23.50</t>
  </si>
  <si>
    <t xml:space="preserve">87.80</t>
  </si>
  <si>
    <t xml:space="preserve">24.10</t>
  </si>
  <si>
    <t xml:space="preserve">29.10</t>
  </si>
  <si>
    <t xml:space="preserve">63.00</t>
  </si>
  <si>
    <t xml:space="preserve">89.60</t>
  </si>
  <si>
    <t xml:space="preserve">34.90</t>
  </si>
  <si>
    <t xml:space="preserve">69.00</t>
  </si>
  <si>
    <t xml:space="preserve">34.60</t>
  </si>
  <si>
    <t xml:space="preserve">69.80</t>
  </si>
  <si>
    <t xml:space="preserve">37.80</t>
  </si>
  <si>
    <t xml:space="preserve">29.80</t>
  </si>
  <si>
    <t xml:space="preserve">56.30</t>
  </si>
  <si>
    <t xml:space="preserve">76.00</t>
  </si>
  <si>
    <t xml:space="preserve">32.90</t>
  </si>
  <si>
    <t xml:space="preserve">61.00</t>
  </si>
  <si>
    <t xml:space="preserve">34.30</t>
  </si>
  <si>
    <t xml:space="preserve">54.20</t>
  </si>
  <si>
    <t xml:space="preserve">26.40</t>
  </si>
  <si>
    <t xml:space="preserve">68.10</t>
  </si>
  <si>
    <t xml:space="preserve">81.00</t>
  </si>
  <si>
    <t xml:space="preserve">27.60</t>
  </si>
  <si>
    <t xml:space="preserve">74.00</t>
  </si>
  <si>
    <t xml:space="preserve">27.90</t>
  </si>
  <si>
    <t xml:space="preserve">71.00</t>
  </si>
  <si>
    <t xml:space="preserve">27.50</t>
  </si>
  <si>
    <t xml:space="preserve">24.20</t>
  </si>
  <si>
    <t xml:space="preserve">78.10</t>
  </si>
  <si>
    <t xml:space="preserve">95.30</t>
  </si>
  <si>
    <t xml:space="preserve">24.50</t>
  </si>
  <si>
    <t xml:space="preserve">84.20</t>
  </si>
  <si>
    <t xml:space="preserve">80.60</t>
  </si>
  <si>
    <t xml:space="preserve">24.70</t>
  </si>
  <si>
    <t xml:space="preserve">22.80</t>
  </si>
  <si>
    <t xml:space="preserve">23.40</t>
  </si>
  <si>
    <t xml:space="preserve">87.30</t>
  </si>
  <si>
    <t xml:space="preserve">23.20</t>
  </si>
  <si>
    <t xml:space="preserve">83.90</t>
  </si>
  <si>
    <t xml:space="preserve">21.40</t>
  </si>
  <si>
    <t xml:space="preserve">86.10</t>
  </si>
  <si>
    <t xml:space="preserve">21.70</t>
  </si>
  <si>
    <t xml:space="preserve">93.00</t>
  </si>
  <si>
    <t xml:space="preserve">21.80</t>
  </si>
  <si>
    <t xml:space="preserve">85.50</t>
  </si>
  <si>
    <t xml:space="preserve">22.30</t>
  </si>
  <si>
    <t xml:space="preserve">34.40</t>
  </si>
  <si>
    <t xml:space="preserve">50.90</t>
  </si>
  <si>
    <t xml:space="preserve">83.00</t>
  </si>
  <si>
    <t xml:space="preserve">38.70</t>
  </si>
  <si>
    <t xml:space="preserve">70.00</t>
  </si>
  <si>
    <t xml:space="preserve">37.00</t>
  </si>
  <si>
    <t xml:space="preserve">55.50</t>
  </si>
  <si>
    <t xml:space="preserve">38.90</t>
  </si>
  <si>
    <t xml:space="preserve">31.80</t>
  </si>
  <si>
    <t xml:space="preserve">53.70</t>
  </si>
  <si>
    <t xml:space="preserve">66.00</t>
  </si>
  <si>
    <t xml:space="preserve">56.00</t>
  </si>
  <si>
    <t xml:space="preserve">36.20</t>
  </si>
  <si>
    <t xml:space="preserve">42.00</t>
  </si>
  <si>
    <t xml:space="preserve">39.40</t>
  </si>
  <si>
    <t xml:space="preserve">39.00</t>
  </si>
  <si>
    <t xml:space="preserve">40.30</t>
  </si>
  <si>
    <t xml:space="preserve">50.00</t>
  </si>
  <si>
    <t xml:space="preserve">38.50</t>
  </si>
  <si>
    <t xml:space="preserve">41.00</t>
  </si>
  <si>
    <t xml:space="preserve">45.00</t>
  </si>
  <si>
    <t xml:space="preserve">41.80</t>
  </si>
  <si>
    <t xml:space="preserve">64.00</t>
  </si>
  <si>
    <t xml:space="preserve">29.00</t>
  </si>
  <si>
    <t xml:space="preserve">27.70</t>
  </si>
  <si>
    <t xml:space="preserve">62.00</t>
  </si>
  <si>
    <t xml:space="preserve">28.00</t>
  </si>
  <si>
    <t xml:space="preserve">23.90</t>
  </si>
  <si>
    <t xml:space="preserve">74.70</t>
  </si>
  <si>
    <t xml:space="preserve">84.50</t>
  </si>
  <si>
    <t xml:space="preserve">76.40</t>
  </si>
  <si>
    <t xml:space="preserve">24.80</t>
  </si>
  <si>
    <t xml:space="preserve">74.80</t>
  </si>
  <si>
    <t xml:space="preserve">24.60</t>
  </si>
  <si>
    <t xml:space="preserve">20.80</t>
  </si>
  <si>
    <t xml:space="preserve">87.50</t>
  </si>
  <si>
    <t xml:space="preserve">99.00</t>
  </si>
  <si>
    <t xml:space="preserve">21.50</t>
  </si>
  <si>
    <t xml:space="preserve">89.00</t>
  </si>
  <si>
    <t xml:space="preserve">86.90</t>
  </si>
  <si>
    <t xml:space="preserve">22.60</t>
  </si>
  <si>
    <t xml:space="preserve">84.10</t>
  </si>
  <si>
    <t xml:space="preserve">98.00</t>
  </si>
  <si>
    <t xml:space="preserve">23.10</t>
  </si>
  <si>
    <t xml:space="preserve">22.90</t>
  </si>
  <si>
    <t xml:space="preserve">84.40</t>
  </si>
  <si>
    <t xml:space="preserve">97.00</t>
  </si>
  <si>
    <t xml:space="preserve">23.30</t>
  </si>
  <si>
    <t xml:space="preserve">88.50</t>
  </si>
  <si>
    <t xml:space="preserve">23.70</t>
  </si>
  <si>
    <t xml:space="preserve">83.30</t>
  </si>
  <si>
    <t xml:space="preserve">95.00</t>
  </si>
  <si>
    <t xml:space="preserve">24.40</t>
  </si>
  <si>
    <t xml:space="preserve">86.50</t>
  </si>
  <si>
    <t xml:space="preserve">81.30</t>
  </si>
  <si>
    <t xml:space="preserve">78.00</t>
  </si>
  <si>
    <t xml:space="preserve">85.90</t>
  </si>
  <si>
    <t xml:space="preserve">81.80</t>
  </si>
  <si>
    <t xml:space="preserve">24.30</t>
  </si>
  <si>
    <t xml:space="preserve">22.50</t>
  </si>
  <si>
    <t xml:space="preserve">85.40</t>
  </si>
  <si>
    <t xml:space="preserve">25.10</t>
  </si>
  <si>
    <t xml:space="preserve">70.70</t>
  </si>
  <si>
    <t xml:space="preserve">30.00</t>
  </si>
  <si>
    <t xml:space="preserve">28.30</t>
  </si>
  <si>
    <t xml:space="preserve">74.20</t>
  </si>
  <si>
    <t xml:space="preserve">28.90</t>
  </si>
  <si>
    <t xml:space="preserve">43.30</t>
  </si>
  <si>
    <t xml:space="preserve">51.00</t>
  </si>
  <si>
    <t xml:space="preserve">48.90</t>
  </si>
  <si>
    <t xml:space="preserve">46.40</t>
  </si>
  <si>
    <t xml:space="preserve">45.80</t>
  </si>
  <si>
    <t xml:space="preserve">31.70</t>
  </si>
  <si>
    <t xml:space="preserve">49.30</t>
  </si>
  <si>
    <t xml:space="preserve">44.00</t>
  </si>
  <si>
    <t xml:space="preserve">36.00</t>
  </si>
  <si>
    <t xml:space="preserve">47.00</t>
  </si>
  <si>
    <t xml:space="preserve">35.50</t>
  </si>
  <si>
    <t xml:space="preserve">43.20</t>
  </si>
  <si>
    <t xml:space="preserve">35.60</t>
  </si>
  <si>
    <t xml:space="preserve">33.80</t>
  </si>
  <si>
    <t xml:space="preserve">36.80</t>
  </si>
  <si>
    <t xml:space="preserve">46.00</t>
  </si>
  <si>
    <t xml:space="preserve">32,,5</t>
  </si>
  <si>
    <t xml:space="preserve">33.20</t>
  </si>
  <si>
    <t xml:space="preserve">26.70</t>
  </si>
  <si>
    <t xml:space="preserve">61.80</t>
  </si>
  <si>
    <t xml:space="preserve">64.50</t>
  </si>
  <si>
    <t xml:space="preserve">58.70</t>
  </si>
  <si>
    <t xml:space="preserve">56.70</t>
  </si>
  <si>
    <t xml:space="preserve">75.60</t>
  </si>
  <si>
    <t xml:space="preserve">25.40</t>
  </si>
  <si>
    <t xml:space="preserve">68.00</t>
  </si>
  <si>
    <t xml:space="preserve">25.50</t>
  </si>
  <si>
    <t xml:space="preserve">65.40</t>
  </si>
  <si>
    <t xml:space="preserve">21.90</t>
  </si>
  <si>
    <t xml:space="preserve">62.40</t>
  </si>
  <si>
    <t xml:space="preserve">87.00</t>
  </si>
  <si>
    <t xml:space="preserve">23.00</t>
  </si>
  <si>
    <t xml:space="preserve">79.00</t>
  </si>
  <si>
    <t xml:space="preserve">75.40</t>
  </si>
  <si>
    <t xml:space="preserve">31.10</t>
  </si>
  <si>
    <t xml:space="preserve">53.20</t>
  </si>
  <si>
    <t xml:space="preserve">40.40</t>
  </si>
  <si>
    <t xml:space="preserve">38.10</t>
  </si>
  <si>
    <t xml:space="preserve">42.50</t>
  </si>
  <si>
    <t xml:space="preserve">37.90</t>
  </si>
  <si>
    <t xml:space="preserve">82.40</t>
  </si>
  <si>
    <t xml:space="preserve">32.70</t>
  </si>
  <si>
    <t xml:space="preserve">40.20</t>
  </si>
  <si>
    <t xml:space="preserve">48.50</t>
  </si>
  <si>
    <t xml:space="preserve">27.20</t>
  </si>
  <si>
    <t xml:space="preserve">43.40</t>
  </si>
  <si>
    <t xml:space="preserve">46.30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</si>
</sst>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hh:mm:ss"/>
    <numFmt numFmtId="167" formatCode="#,##0.00"/>
    <numFmt numFmtId="168" formatCode="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9"/>
      <color rgb="FF000000"/>
      <name val="Times New Roman"/>
      <family val="1"/>
      <charset val="1"/>
    </font>
    <font>
      <sz val="9"/>
      <color rgb="FF000000"/>
      <name val="Times New Roman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E2EFD9"/>
        <bgColor rgb="FFDEE6EF"/>
      </patternFill>
    </fill>
    <fill>
      <patternFill patternType="solid">
        <fgColor rgb="FFD8D8D8"/>
        <bgColor rgb="FFDEE6EF"/>
      </patternFill>
    </fill>
    <fill>
      <patternFill patternType="solid">
        <fgColor rgb="FFDEEAF6"/>
        <bgColor rgb="FFDEE6EF"/>
      </patternFill>
    </fill>
    <fill>
      <patternFill patternType="solid">
        <fgColor rgb="FFDEE6EF"/>
        <bgColor rgb="FFDEEAF6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2A6099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60156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false" outlineLevel="0" collapsed="false">
      <c r="A2" s="6" t="n">
        <v>45907</v>
      </c>
      <c r="B2" s="7" t="n">
        <v>0.5</v>
      </c>
      <c r="C2" s="8" t="s">
        <v>7</v>
      </c>
      <c r="D2" s="9" t="n">
        <v>22.9</v>
      </c>
      <c r="E2" s="9" t="n">
        <v>68</v>
      </c>
      <c r="F2" s="10" t="n">
        <v>33.6</v>
      </c>
      <c r="G2" s="11" t="n">
        <v>23.7</v>
      </c>
    </row>
    <row r="3" customFormat="false" ht="15.75" hidden="false" customHeight="false" outlineLevel="0" collapsed="false">
      <c r="A3" s="6" t="n">
        <v>45907</v>
      </c>
      <c r="B3" s="7" t="n">
        <v>0.5</v>
      </c>
      <c r="C3" s="8" t="s">
        <v>8</v>
      </c>
      <c r="D3" s="9" t="n">
        <v>22.9</v>
      </c>
      <c r="E3" s="9" t="n">
        <v>68</v>
      </c>
      <c r="F3" s="10" t="n">
        <v>32.7</v>
      </c>
      <c r="G3" s="11" t="n">
        <v>24.2</v>
      </c>
    </row>
    <row r="4" customFormat="false" ht="15.75" hidden="false" customHeight="false" outlineLevel="0" collapsed="false">
      <c r="A4" s="6" t="n">
        <v>45907</v>
      </c>
      <c r="B4" s="7" t="n">
        <v>0.5</v>
      </c>
      <c r="C4" s="8" t="s">
        <v>9</v>
      </c>
      <c r="D4" s="9" t="n">
        <v>22.9</v>
      </c>
      <c r="E4" s="9" t="n">
        <v>68</v>
      </c>
      <c r="F4" s="10" t="n">
        <v>31.8</v>
      </c>
      <c r="G4" s="11" t="n">
        <v>25.6</v>
      </c>
    </row>
    <row r="5" customFormat="false" ht="15.75" hidden="false" customHeight="false" outlineLevel="0" collapsed="false">
      <c r="A5" s="6" t="n">
        <v>45907</v>
      </c>
      <c r="B5" s="7" t="n">
        <v>0.583333333333333</v>
      </c>
      <c r="C5" s="8" t="s">
        <v>10</v>
      </c>
      <c r="D5" s="9" t="n">
        <v>23.9</v>
      </c>
      <c r="E5" s="9" t="n">
        <v>60</v>
      </c>
      <c r="F5" s="10" t="n">
        <v>32.1</v>
      </c>
      <c r="G5" s="12" t="n">
        <v>26.3</v>
      </c>
    </row>
    <row r="6" customFormat="false" ht="15.75" hidden="false" customHeight="false" outlineLevel="0" collapsed="false">
      <c r="A6" s="6" t="n">
        <v>45907</v>
      </c>
      <c r="B6" s="7" t="n">
        <v>0.583333333333333</v>
      </c>
      <c r="C6" s="8" t="s">
        <v>8</v>
      </c>
      <c r="D6" s="9" t="n">
        <v>23.9</v>
      </c>
      <c r="E6" s="9" t="n">
        <v>60</v>
      </c>
      <c r="F6" s="10" t="n">
        <v>31.6</v>
      </c>
      <c r="G6" s="12" t="n">
        <v>26.7</v>
      </c>
    </row>
    <row r="7" customFormat="false" ht="15.75" hidden="false" customHeight="false" outlineLevel="0" collapsed="false">
      <c r="A7" s="6" t="n">
        <v>45907</v>
      </c>
      <c r="B7" s="7" t="n">
        <v>0.583333333333333</v>
      </c>
      <c r="C7" s="8" t="s">
        <v>9</v>
      </c>
      <c r="D7" s="9" t="n">
        <v>23.9</v>
      </c>
      <c r="E7" s="9" t="n">
        <v>60</v>
      </c>
      <c r="F7" s="10" t="n">
        <v>30.2</v>
      </c>
      <c r="G7" s="12" t="n">
        <v>25.4</v>
      </c>
    </row>
    <row r="8" customFormat="false" ht="15.75" hidden="false" customHeight="false" outlineLevel="0" collapsed="false">
      <c r="A8" s="6" t="n">
        <v>45907</v>
      </c>
      <c r="B8" s="7" t="n">
        <v>0.666666666666667</v>
      </c>
      <c r="C8" s="8" t="s">
        <v>10</v>
      </c>
      <c r="D8" s="9" t="n">
        <v>23.7</v>
      </c>
      <c r="E8" s="9" t="n">
        <v>60</v>
      </c>
      <c r="F8" s="10" t="n">
        <v>28.3</v>
      </c>
      <c r="G8" s="11" t="n">
        <v>24.7</v>
      </c>
    </row>
    <row r="9" customFormat="false" ht="15.75" hidden="false" customHeight="false" outlineLevel="0" collapsed="false">
      <c r="A9" s="6" t="n">
        <v>45907</v>
      </c>
      <c r="B9" s="7" t="n">
        <v>0.666666666666667</v>
      </c>
      <c r="C9" s="8" t="s">
        <v>8</v>
      </c>
      <c r="D9" s="9" t="n">
        <v>23.7</v>
      </c>
      <c r="E9" s="9" t="n">
        <v>60</v>
      </c>
      <c r="F9" s="10" t="n">
        <v>29.9</v>
      </c>
      <c r="G9" s="11" t="n">
        <v>25.6</v>
      </c>
    </row>
    <row r="10" customFormat="false" ht="15.75" hidden="false" customHeight="false" outlineLevel="0" collapsed="false">
      <c r="A10" s="6" t="n">
        <v>45907</v>
      </c>
      <c r="B10" s="7" t="n">
        <v>0.666666666666667</v>
      </c>
      <c r="C10" s="8" t="s">
        <v>9</v>
      </c>
      <c r="D10" s="9" t="n">
        <v>23.7</v>
      </c>
      <c r="E10" s="9" t="n">
        <v>60</v>
      </c>
      <c r="F10" s="10" t="n">
        <v>28.2</v>
      </c>
      <c r="G10" s="11" t="n">
        <v>23.6</v>
      </c>
    </row>
    <row r="11" customFormat="false" ht="15.75" hidden="false" customHeight="false" outlineLevel="0" collapsed="false">
      <c r="A11" s="6" t="n">
        <v>45907</v>
      </c>
      <c r="B11" s="7" t="n">
        <v>0.75</v>
      </c>
      <c r="C11" s="8" t="s">
        <v>10</v>
      </c>
      <c r="D11" s="13" t="n">
        <v>22.7</v>
      </c>
      <c r="E11" s="13" t="n">
        <v>65</v>
      </c>
      <c r="F11" s="10" t="n">
        <v>27.1</v>
      </c>
      <c r="G11" s="11" t="n">
        <v>24.8</v>
      </c>
    </row>
    <row r="12" customFormat="false" ht="15.75" hidden="false" customHeight="false" outlineLevel="0" collapsed="false">
      <c r="A12" s="6" t="n">
        <v>45907</v>
      </c>
      <c r="B12" s="7" t="n">
        <v>0.75</v>
      </c>
      <c r="C12" s="8" t="s">
        <v>8</v>
      </c>
      <c r="D12" s="13" t="n">
        <v>22.7</v>
      </c>
      <c r="E12" s="13" t="n">
        <v>65</v>
      </c>
      <c r="F12" s="10" t="n">
        <v>26.4</v>
      </c>
      <c r="G12" s="11" t="n">
        <v>25.3</v>
      </c>
    </row>
    <row r="13" customFormat="false" ht="15.75" hidden="false" customHeight="false" outlineLevel="0" collapsed="false">
      <c r="A13" s="6" t="n">
        <v>45907</v>
      </c>
      <c r="B13" s="7" t="n">
        <v>0.75</v>
      </c>
      <c r="C13" s="8" t="s">
        <v>9</v>
      </c>
      <c r="D13" s="13" t="n">
        <v>22.7</v>
      </c>
      <c r="E13" s="13" t="n">
        <v>65</v>
      </c>
      <c r="F13" s="10" t="n">
        <v>26.6</v>
      </c>
      <c r="G13" s="11" t="n">
        <v>22.7</v>
      </c>
    </row>
    <row r="14" customFormat="false" ht="15.75" hidden="false" customHeight="false" outlineLevel="0" collapsed="false">
      <c r="A14" s="6" t="n">
        <v>45908</v>
      </c>
      <c r="B14" s="7" t="n">
        <v>0.333333333333333</v>
      </c>
      <c r="C14" s="8" t="s">
        <v>10</v>
      </c>
      <c r="D14" s="13" t="n">
        <v>19.4</v>
      </c>
      <c r="E14" s="13" t="n">
        <v>72</v>
      </c>
      <c r="F14" s="10" t="n">
        <v>28.6</v>
      </c>
      <c r="G14" s="11" t="n">
        <v>19.5</v>
      </c>
    </row>
    <row r="15" customFormat="false" ht="15.75" hidden="false" customHeight="false" outlineLevel="0" collapsed="false">
      <c r="A15" s="6" t="n">
        <v>45908</v>
      </c>
      <c r="B15" s="7" t="n">
        <v>0.333333333333333</v>
      </c>
      <c r="C15" s="8" t="s">
        <v>8</v>
      </c>
      <c r="D15" s="13" t="n">
        <v>19.4</v>
      </c>
      <c r="E15" s="13" t="n">
        <v>72</v>
      </c>
      <c r="F15" s="10" t="n">
        <v>29</v>
      </c>
      <c r="G15" s="11" t="n">
        <v>19.2</v>
      </c>
    </row>
    <row r="16" customFormat="false" ht="15.75" hidden="false" customHeight="false" outlineLevel="0" collapsed="false">
      <c r="A16" s="6" t="n">
        <v>45908</v>
      </c>
      <c r="B16" s="7" t="n">
        <v>0.333333333333333</v>
      </c>
      <c r="C16" s="8" t="s">
        <v>9</v>
      </c>
      <c r="D16" s="13" t="n">
        <v>19.4</v>
      </c>
      <c r="E16" s="13" t="n">
        <v>72</v>
      </c>
      <c r="F16" s="10" t="n">
        <v>27.9</v>
      </c>
      <c r="G16" s="11" t="n">
        <v>19.6</v>
      </c>
    </row>
    <row r="17" customFormat="false" ht="15.75" hidden="false" customHeight="false" outlineLevel="0" collapsed="false">
      <c r="A17" s="6" t="n">
        <v>45908</v>
      </c>
      <c r="B17" s="7" t="n">
        <v>0.416666666666667</v>
      </c>
      <c r="C17" s="8" t="s">
        <v>10</v>
      </c>
      <c r="D17" s="13" t="n">
        <v>22</v>
      </c>
      <c r="E17" s="13" t="n">
        <v>69</v>
      </c>
      <c r="F17" s="10" t="n">
        <v>26.2</v>
      </c>
      <c r="G17" s="11" t="n">
        <v>23.7</v>
      </c>
    </row>
    <row r="18" customFormat="false" ht="15.75" hidden="false" customHeight="false" outlineLevel="0" collapsed="false">
      <c r="A18" s="6" t="n">
        <v>45908</v>
      </c>
      <c r="B18" s="7" t="n">
        <v>0.416666666666667</v>
      </c>
      <c r="C18" s="8" t="s">
        <v>8</v>
      </c>
      <c r="D18" s="13" t="n">
        <v>22</v>
      </c>
      <c r="E18" s="13" t="n">
        <v>69</v>
      </c>
      <c r="F18" s="10" t="n">
        <v>27.8</v>
      </c>
      <c r="G18" s="10" t="n">
        <v>24</v>
      </c>
    </row>
    <row r="19" customFormat="false" ht="15.75" hidden="false" customHeight="false" outlineLevel="0" collapsed="false">
      <c r="A19" s="6" t="n">
        <v>45908</v>
      </c>
      <c r="B19" s="7" t="n">
        <v>0.416666666666667</v>
      </c>
      <c r="C19" s="8" t="s">
        <v>9</v>
      </c>
      <c r="D19" s="13" t="n">
        <v>22</v>
      </c>
      <c r="E19" s="13" t="n">
        <v>69</v>
      </c>
      <c r="F19" s="10" t="n">
        <v>26.9</v>
      </c>
      <c r="G19" s="10" t="n">
        <v>24.2</v>
      </c>
    </row>
    <row r="20" customFormat="false" ht="15.75" hidden="false" customHeight="false" outlineLevel="0" collapsed="false">
      <c r="A20" s="6" t="n">
        <v>45908</v>
      </c>
      <c r="B20" s="7" t="n">
        <v>0.5</v>
      </c>
      <c r="C20" s="8" t="s">
        <v>10</v>
      </c>
      <c r="D20" s="9" t="n">
        <v>23.1</v>
      </c>
      <c r="E20" s="9" t="n">
        <v>67</v>
      </c>
      <c r="F20" s="10" t="n">
        <v>25.8</v>
      </c>
      <c r="G20" s="10" t="n">
        <v>26.7</v>
      </c>
    </row>
    <row r="21" customFormat="false" ht="15.75" hidden="false" customHeight="false" outlineLevel="0" collapsed="false">
      <c r="A21" s="6" t="n">
        <v>45908</v>
      </c>
      <c r="B21" s="7" t="n">
        <v>0.5</v>
      </c>
      <c r="C21" s="8" t="s">
        <v>8</v>
      </c>
      <c r="D21" s="9" t="n">
        <v>23.1</v>
      </c>
      <c r="E21" s="9" t="n">
        <v>67</v>
      </c>
      <c r="F21" s="10" t="n">
        <v>26</v>
      </c>
      <c r="G21" s="10" t="n">
        <v>27</v>
      </c>
    </row>
    <row r="22" customFormat="false" ht="15.75" hidden="false" customHeight="false" outlineLevel="0" collapsed="false">
      <c r="A22" s="6" t="n">
        <v>45908</v>
      </c>
      <c r="B22" s="7" t="n">
        <v>0.5</v>
      </c>
      <c r="C22" s="8" t="s">
        <v>9</v>
      </c>
      <c r="D22" s="9" t="n">
        <v>23.1</v>
      </c>
      <c r="E22" s="9" t="n">
        <v>67</v>
      </c>
      <c r="F22" s="10" t="n">
        <v>25.1</v>
      </c>
      <c r="G22" s="10" t="n">
        <v>27.2</v>
      </c>
    </row>
    <row r="23" customFormat="false" ht="15.75" hidden="false" customHeight="false" outlineLevel="0" collapsed="false">
      <c r="A23" s="6" t="n">
        <v>45908</v>
      </c>
      <c r="B23" s="7" t="n">
        <v>0.583333333333333</v>
      </c>
      <c r="C23" s="8" t="s">
        <v>10</v>
      </c>
      <c r="D23" s="9" t="n">
        <v>24</v>
      </c>
      <c r="E23" s="9" t="n">
        <v>67</v>
      </c>
      <c r="F23" s="10" t="n">
        <v>23.5</v>
      </c>
      <c r="G23" s="10" t="n">
        <v>27.8</v>
      </c>
    </row>
    <row r="24" customFormat="false" ht="15.75" hidden="false" customHeight="false" outlineLevel="0" collapsed="false">
      <c r="A24" s="6" t="n">
        <v>45908</v>
      </c>
      <c r="B24" s="7" t="n">
        <v>0.583333333333333</v>
      </c>
      <c r="C24" s="8" t="s">
        <v>8</v>
      </c>
      <c r="D24" s="9" t="n">
        <v>24</v>
      </c>
      <c r="E24" s="9" t="n">
        <v>67</v>
      </c>
      <c r="F24" s="10" t="n">
        <v>22.9</v>
      </c>
      <c r="G24" s="10" t="n">
        <v>28</v>
      </c>
    </row>
    <row r="25" customFormat="false" ht="15.75" hidden="false" customHeight="false" outlineLevel="0" collapsed="false">
      <c r="A25" s="6" t="n">
        <v>45908</v>
      </c>
      <c r="B25" s="7" t="n">
        <v>0.583333333333333</v>
      </c>
      <c r="C25" s="8" t="s">
        <v>9</v>
      </c>
      <c r="D25" s="9" t="n">
        <v>24</v>
      </c>
      <c r="E25" s="9" t="n">
        <v>67</v>
      </c>
      <c r="F25" s="10" t="n">
        <v>21.7</v>
      </c>
      <c r="G25" s="10" t="n">
        <v>27.6</v>
      </c>
    </row>
    <row r="26" customFormat="false" ht="15.75" hidden="false" customHeight="false" outlineLevel="0" collapsed="false">
      <c r="A26" s="6" t="n">
        <v>45908</v>
      </c>
      <c r="B26" s="7" t="n">
        <v>0.666666666666667</v>
      </c>
      <c r="C26" s="8" t="s">
        <v>10</v>
      </c>
      <c r="D26" s="9" t="n">
        <v>26.2</v>
      </c>
      <c r="E26" s="9" t="n">
        <v>66</v>
      </c>
      <c r="F26" s="10" t="n">
        <v>21.6</v>
      </c>
      <c r="G26" s="10" t="n">
        <v>28.6</v>
      </c>
    </row>
    <row r="27" customFormat="false" ht="15.75" hidden="false" customHeight="false" outlineLevel="0" collapsed="false">
      <c r="A27" s="6" t="n">
        <v>45908</v>
      </c>
      <c r="B27" s="7" t="n">
        <v>0.666666666666667</v>
      </c>
      <c r="C27" s="8" t="s">
        <v>8</v>
      </c>
      <c r="D27" s="9" t="n">
        <v>26.2</v>
      </c>
      <c r="E27" s="9" t="n">
        <v>66</v>
      </c>
      <c r="F27" s="10" t="n">
        <v>20.7</v>
      </c>
      <c r="G27" s="10" t="n">
        <v>28.5</v>
      </c>
    </row>
    <row r="28" customFormat="false" ht="15.75" hidden="false" customHeight="false" outlineLevel="0" collapsed="false">
      <c r="A28" s="6" t="n">
        <v>45908</v>
      </c>
      <c r="B28" s="7" t="n">
        <v>0.666666666666667</v>
      </c>
      <c r="C28" s="8" t="s">
        <v>9</v>
      </c>
      <c r="D28" s="9" t="n">
        <v>26.2</v>
      </c>
      <c r="E28" s="9" t="n">
        <v>66</v>
      </c>
      <c r="F28" s="10" t="n">
        <v>20.1</v>
      </c>
      <c r="G28" s="10" t="n">
        <v>29.1</v>
      </c>
    </row>
    <row r="29" customFormat="false" ht="15.75" hidden="false" customHeight="false" outlineLevel="0" collapsed="false">
      <c r="A29" s="6" t="n">
        <v>45908</v>
      </c>
      <c r="B29" s="7" t="n">
        <v>0.75</v>
      </c>
      <c r="C29" s="8" t="s">
        <v>10</v>
      </c>
      <c r="D29" s="14" t="n">
        <v>24.2</v>
      </c>
      <c r="E29" s="15" t="n">
        <v>65</v>
      </c>
      <c r="F29" s="10" t="n">
        <v>20.7</v>
      </c>
      <c r="G29" s="10" t="n">
        <v>30.6</v>
      </c>
    </row>
    <row r="30" customFormat="false" ht="15.75" hidden="false" customHeight="false" outlineLevel="0" collapsed="false">
      <c r="A30" s="6" t="n">
        <v>45908</v>
      </c>
      <c r="B30" s="7" t="n">
        <v>0.75</v>
      </c>
      <c r="C30" s="8" t="s">
        <v>8</v>
      </c>
      <c r="D30" s="14" t="n">
        <v>24.2</v>
      </c>
      <c r="E30" s="15" t="n">
        <v>65</v>
      </c>
      <c r="F30" s="10" t="n">
        <v>20.2</v>
      </c>
      <c r="G30" s="10" t="n">
        <v>29.7</v>
      </c>
    </row>
    <row r="31" customFormat="false" ht="15.75" hidden="false" customHeight="false" outlineLevel="0" collapsed="false">
      <c r="A31" s="6" t="n">
        <v>45908</v>
      </c>
      <c r="B31" s="7" t="n">
        <v>0.75</v>
      </c>
      <c r="C31" s="8" t="s">
        <v>9</v>
      </c>
      <c r="D31" s="14" t="n">
        <v>24.2</v>
      </c>
      <c r="E31" s="15" t="n">
        <v>65</v>
      </c>
      <c r="F31" s="16" t="n">
        <v>19.8</v>
      </c>
      <c r="G31" s="16" t="n">
        <v>28.5</v>
      </c>
    </row>
    <row r="32" customFormat="false" ht="15.75" hidden="false" customHeight="false" outlineLevel="0" collapsed="false">
      <c r="A32" s="17" t="n">
        <v>45909</v>
      </c>
      <c r="B32" s="7" t="n">
        <v>0.333333333333333</v>
      </c>
      <c r="C32" s="8" t="s">
        <v>10</v>
      </c>
      <c r="D32" s="18" t="n">
        <v>22.6</v>
      </c>
      <c r="E32" s="9" t="n">
        <v>72</v>
      </c>
      <c r="F32" s="12" t="n">
        <v>21.8</v>
      </c>
      <c r="G32" s="12" t="n">
        <v>21.6</v>
      </c>
    </row>
    <row r="33" customFormat="false" ht="15.75" hidden="false" customHeight="false" outlineLevel="0" collapsed="false">
      <c r="A33" s="17" t="n">
        <v>45909</v>
      </c>
      <c r="B33" s="7" t="n">
        <v>0.333333333333333</v>
      </c>
      <c r="C33" s="8" t="s">
        <v>8</v>
      </c>
      <c r="D33" s="18" t="n">
        <v>22.6</v>
      </c>
      <c r="E33" s="9" t="n">
        <v>72</v>
      </c>
      <c r="F33" s="10" t="n">
        <v>20.6</v>
      </c>
      <c r="G33" s="10" t="n">
        <v>20.8</v>
      </c>
    </row>
    <row r="34" customFormat="false" ht="15.75" hidden="false" customHeight="false" outlineLevel="0" collapsed="false">
      <c r="A34" s="17" t="n">
        <v>45909</v>
      </c>
      <c r="B34" s="7" t="n">
        <v>0.333333333333333</v>
      </c>
      <c r="C34" s="8" t="s">
        <v>9</v>
      </c>
      <c r="D34" s="18" t="n">
        <v>22.6</v>
      </c>
      <c r="E34" s="9" t="n">
        <v>72</v>
      </c>
      <c r="F34" s="10" t="n">
        <v>20.1</v>
      </c>
      <c r="G34" s="10" t="n">
        <v>21.9</v>
      </c>
    </row>
    <row r="35" customFormat="false" ht="15.75" hidden="false" customHeight="false" outlineLevel="0" collapsed="false">
      <c r="A35" s="17" t="n">
        <v>45909</v>
      </c>
      <c r="B35" s="7" t="n">
        <v>0.416666666666667</v>
      </c>
      <c r="C35" s="8" t="s">
        <v>10</v>
      </c>
      <c r="D35" s="18" t="n">
        <v>23.5</v>
      </c>
      <c r="E35" s="9" t="n">
        <v>70</v>
      </c>
      <c r="F35" s="12" t="n">
        <v>19.1</v>
      </c>
      <c r="G35" s="10" t="n">
        <v>25.7</v>
      </c>
    </row>
    <row r="36" customFormat="false" ht="15.75" hidden="false" customHeight="false" outlineLevel="0" collapsed="false">
      <c r="A36" s="17" t="n">
        <v>45909</v>
      </c>
      <c r="B36" s="7" t="n">
        <v>0.416666666666667</v>
      </c>
      <c r="C36" s="8" t="s">
        <v>8</v>
      </c>
      <c r="D36" s="18" t="n">
        <v>23.5</v>
      </c>
      <c r="E36" s="9" t="n">
        <v>70</v>
      </c>
      <c r="F36" s="10" t="n">
        <v>18.9</v>
      </c>
      <c r="G36" s="10" t="n">
        <v>24.9</v>
      </c>
    </row>
    <row r="37" customFormat="false" ht="15.75" hidden="false" customHeight="false" outlineLevel="0" collapsed="false">
      <c r="A37" s="17" t="n">
        <v>45909</v>
      </c>
      <c r="B37" s="7" t="n">
        <v>0.416666666666667</v>
      </c>
      <c r="C37" s="8" t="s">
        <v>9</v>
      </c>
      <c r="D37" s="18" t="n">
        <v>23.5</v>
      </c>
      <c r="E37" s="9" t="n">
        <v>70</v>
      </c>
      <c r="F37" s="10" t="n">
        <v>18.5</v>
      </c>
      <c r="G37" s="10" t="n">
        <v>25.7</v>
      </c>
    </row>
    <row r="38" customFormat="false" ht="15.75" hidden="false" customHeight="false" outlineLevel="0" collapsed="false">
      <c r="A38" s="17" t="n">
        <v>45909</v>
      </c>
      <c r="B38" s="7" t="n">
        <v>0.5</v>
      </c>
      <c r="C38" s="8" t="s">
        <v>10</v>
      </c>
      <c r="D38" s="9" t="n">
        <v>23.7</v>
      </c>
      <c r="E38" s="19" t="n">
        <v>64</v>
      </c>
      <c r="F38" s="10" t="n">
        <v>17.9</v>
      </c>
      <c r="G38" s="10" t="n">
        <v>26.7</v>
      </c>
    </row>
    <row r="39" customFormat="false" ht="15.75" hidden="false" customHeight="false" outlineLevel="0" collapsed="false">
      <c r="A39" s="17" t="n">
        <v>45909</v>
      </c>
      <c r="B39" s="7" t="n">
        <v>0.5</v>
      </c>
      <c r="C39" s="8" t="s">
        <v>8</v>
      </c>
      <c r="D39" s="9" t="n">
        <v>23.7</v>
      </c>
      <c r="E39" s="19" t="n">
        <v>64</v>
      </c>
      <c r="F39" s="10" t="n">
        <v>17.5</v>
      </c>
      <c r="G39" s="10" t="n">
        <v>26.8</v>
      </c>
    </row>
    <row r="40" customFormat="false" ht="15.75" hidden="false" customHeight="false" outlineLevel="0" collapsed="false">
      <c r="A40" s="17" t="n">
        <v>45909</v>
      </c>
      <c r="B40" s="7" t="n">
        <v>0.5</v>
      </c>
      <c r="C40" s="8" t="s">
        <v>9</v>
      </c>
      <c r="D40" s="9" t="n">
        <v>23.7</v>
      </c>
      <c r="E40" s="19" t="n">
        <v>64</v>
      </c>
      <c r="F40" s="10" t="n">
        <v>17.2</v>
      </c>
      <c r="G40" s="10" t="n">
        <v>27</v>
      </c>
    </row>
    <row r="41" customFormat="false" ht="15.75" hidden="false" customHeight="false" outlineLevel="0" collapsed="false">
      <c r="A41" s="17" t="n">
        <v>45909</v>
      </c>
      <c r="B41" s="7" t="n">
        <v>0.583333333333333</v>
      </c>
      <c r="C41" s="8" t="s">
        <v>10</v>
      </c>
      <c r="D41" s="9" t="n">
        <v>25.6</v>
      </c>
      <c r="E41" s="19" t="n">
        <v>62</v>
      </c>
      <c r="F41" s="10" t="n">
        <v>17.6</v>
      </c>
      <c r="G41" s="10" t="n">
        <v>28.7</v>
      </c>
    </row>
    <row r="42" customFormat="false" ht="15.75" hidden="false" customHeight="false" outlineLevel="0" collapsed="false">
      <c r="A42" s="17" t="n">
        <v>45909</v>
      </c>
      <c r="B42" s="7" t="n">
        <v>0.583333333333333</v>
      </c>
      <c r="C42" s="8" t="s">
        <v>8</v>
      </c>
      <c r="D42" s="9" t="n">
        <v>25.6</v>
      </c>
      <c r="E42" s="19" t="n">
        <v>62</v>
      </c>
      <c r="F42" s="10" t="n">
        <v>16.9</v>
      </c>
      <c r="G42" s="10" t="n">
        <v>27.9</v>
      </c>
    </row>
    <row r="43" customFormat="false" ht="15.75" hidden="false" customHeight="false" outlineLevel="0" collapsed="false">
      <c r="A43" s="17" t="n">
        <v>45909</v>
      </c>
      <c r="B43" s="7" t="n">
        <v>0.583333333333333</v>
      </c>
      <c r="C43" s="8" t="s">
        <v>9</v>
      </c>
      <c r="D43" s="9" t="n">
        <v>25.6</v>
      </c>
      <c r="E43" s="19" t="n">
        <v>62</v>
      </c>
      <c r="F43" s="10" t="n">
        <v>17</v>
      </c>
      <c r="G43" s="10" t="n">
        <v>29</v>
      </c>
    </row>
    <row r="44" customFormat="false" ht="15.75" hidden="false" customHeight="false" outlineLevel="0" collapsed="false">
      <c r="A44" s="17" t="n">
        <v>45909</v>
      </c>
      <c r="B44" s="7" t="n">
        <v>0.666666666666667</v>
      </c>
      <c r="C44" s="8" t="s">
        <v>10</v>
      </c>
      <c r="D44" s="20" t="n">
        <v>27.8</v>
      </c>
      <c r="E44" s="19" t="n">
        <v>60</v>
      </c>
      <c r="F44" s="12" t="n">
        <v>17</v>
      </c>
      <c r="G44" s="10" t="n">
        <v>28.6</v>
      </c>
    </row>
    <row r="45" customFormat="false" ht="15.75" hidden="false" customHeight="false" outlineLevel="0" collapsed="false">
      <c r="A45" s="17" t="n">
        <v>45909</v>
      </c>
      <c r="B45" s="7" t="n">
        <v>0.666666666666667</v>
      </c>
      <c r="C45" s="8" t="s">
        <v>8</v>
      </c>
      <c r="D45" s="9" t="n">
        <v>25.6</v>
      </c>
      <c r="E45" s="19" t="n">
        <v>62</v>
      </c>
      <c r="F45" s="12" t="n">
        <v>16.9</v>
      </c>
      <c r="G45" s="10" t="n">
        <v>29.7</v>
      </c>
    </row>
    <row r="46" customFormat="false" ht="15.75" hidden="false" customHeight="false" outlineLevel="0" collapsed="false">
      <c r="A46" s="17" t="n">
        <v>45909</v>
      </c>
      <c r="B46" s="7" t="n">
        <v>0.666666666666667</v>
      </c>
      <c r="C46" s="8" t="s">
        <v>9</v>
      </c>
      <c r="D46" s="9" t="n">
        <v>25.6</v>
      </c>
      <c r="E46" s="19" t="n">
        <v>62</v>
      </c>
      <c r="F46" s="12" t="n">
        <v>16.5</v>
      </c>
      <c r="G46" s="10" t="n">
        <v>30.1</v>
      </c>
    </row>
    <row r="47" customFormat="false" ht="15.75" hidden="false" customHeight="false" outlineLevel="0" collapsed="false">
      <c r="A47" s="17" t="n">
        <v>45909</v>
      </c>
      <c r="B47" s="7" t="n">
        <v>0.75</v>
      </c>
      <c r="C47" s="8" t="s">
        <v>10</v>
      </c>
      <c r="D47" s="21" t="n">
        <v>23.1</v>
      </c>
      <c r="E47" s="19" t="n">
        <v>66</v>
      </c>
      <c r="F47" s="12" t="n">
        <v>16.9</v>
      </c>
      <c r="G47" s="12" t="n">
        <v>29.1</v>
      </c>
    </row>
    <row r="48" customFormat="false" ht="15.75" hidden="false" customHeight="false" outlineLevel="0" collapsed="false">
      <c r="A48" s="17" t="n">
        <v>45909</v>
      </c>
      <c r="B48" s="7" t="n">
        <v>0.75</v>
      </c>
      <c r="C48" s="8" t="s">
        <v>8</v>
      </c>
      <c r="D48" s="21" t="n">
        <v>23.1</v>
      </c>
      <c r="E48" s="19" t="n">
        <v>66</v>
      </c>
      <c r="F48" s="12" t="n">
        <v>17.2</v>
      </c>
      <c r="G48" s="10" t="n">
        <v>29.6</v>
      </c>
    </row>
    <row r="49" customFormat="false" ht="15.75" hidden="false" customHeight="false" outlineLevel="0" collapsed="false">
      <c r="A49" s="17" t="n">
        <v>45909</v>
      </c>
      <c r="B49" s="7" t="n">
        <v>0.75</v>
      </c>
      <c r="C49" s="8" t="s">
        <v>9</v>
      </c>
      <c r="D49" s="21" t="n">
        <v>23.1</v>
      </c>
      <c r="E49" s="19" t="n">
        <v>66</v>
      </c>
      <c r="F49" s="12" t="n">
        <v>16.4</v>
      </c>
      <c r="G49" s="10" t="n">
        <v>29.9</v>
      </c>
    </row>
    <row r="50" customFormat="false" ht="15.75" hidden="false" customHeight="false" outlineLevel="0" collapsed="false">
      <c r="A50" s="17" t="n">
        <v>45910</v>
      </c>
      <c r="B50" s="7" t="n">
        <v>0.333333333333333</v>
      </c>
      <c r="C50" s="8" t="s">
        <v>10</v>
      </c>
      <c r="D50" s="9" t="n">
        <v>21.4</v>
      </c>
      <c r="E50" s="19" t="n">
        <v>74</v>
      </c>
      <c r="F50" s="10" t="n">
        <v>17.1</v>
      </c>
      <c r="G50" s="10" t="n">
        <v>20.9</v>
      </c>
    </row>
    <row r="51" customFormat="false" ht="15.75" hidden="false" customHeight="false" outlineLevel="0" collapsed="false">
      <c r="A51" s="17" t="n">
        <v>45910</v>
      </c>
      <c r="B51" s="7" t="n">
        <v>0.333333333333333</v>
      </c>
      <c r="C51" s="8" t="s">
        <v>8</v>
      </c>
      <c r="D51" s="9" t="n">
        <v>21.4</v>
      </c>
      <c r="E51" s="19" t="n">
        <v>74</v>
      </c>
      <c r="F51" s="10" t="n">
        <v>17.3</v>
      </c>
      <c r="G51" s="10" t="n">
        <v>20</v>
      </c>
    </row>
    <row r="52" customFormat="false" ht="15.75" hidden="false" customHeight="false" outlineLevel="0" collapsed="false">
      <c r="A52" s="17" t="n">
        <v>45910</v>
      </c>
      <c r="B52" s="7" t="n">
        <v>0.333333333333333</v>
      </c>
      <c r="C52" s="8" t="s">
        <v>9</v>
      </c>
      <c r="D52" s="9" t="n">
        <v>21.4</v>
      </c>
      <c r="E52" s="19" t="n">
        <v>74</v>
      </c>
      <c r="F52" s="10" t="n">
        <v>17</v>
      </c>
      <c r="G52" s="10" t="n">
        <v>20.3</v>
      </c>
    </row>
    <row r="53" customFormat="false" ht="15.75" hidden="false" customHeight="false" outlineLevel="0" collapsed="false">
      <c r="A53" s="17" t="n">
        <v>45910</v>
      </c>
      <c r="B53" s="7" t="n">
        <v>0.416666666666667</v>
      </c>
      <c r="C53" s="8" t="s">
        <v>10</v>
      </c>
      <c r="D53" s="15" t="n">
        <v>22.6</v>
      </c>
      <c r="E53" s="22" t="n">
        <v>72</v>
      </c>
      <c r="F53" s="10" t="n">
        <v>16.1</v>
      </c>
      <c r="G53" s="10" t="n">
        <v>22.3</v>
      </c>
    </row>
    <row r="54" customFormat="false" ht="15.75" hidden="false" customHeight="false" outlineLevel="0" collapsed="false">
      <c r="A54" s="17" t="n">
        <v>45910</v>
      </c>
      <c r="B54" s="7" t="n">
        <v>0.416666666666667</v>
      </c>
      <c r="C54" s="8" t="s">
        <v>8</v>
      </c>
      <c r="D54" s="15" t="n">
        <v>22.6</v>
      </c>
      <c r="E54" s="22" t="n">
        <v>72</v>
      </c>
      <c r="F54" s="10" t="n">
        <v>15.9</v>
      </c>
      <c r="G54" s="10" t="n">
        <v>22.1</v>
      </c>
    </row>
    <row r="55" customFormat="false" ht="15.75" hidden="false" customHeight="false" outlineLevel="0" collapsed="false">
      <c r="A55" s="17" t="n">
        <v>45910</v>
      </c>
      <c r="B55" s="7" t="n">
        <v>0.416666666666667</v>
      </c>
      <c r="C55" s="8" t="s">
        <v>9</v>
      </c>
      <c r="D55" s="15" t="n">
        <v>22.6</v>
      </c>
      <c r="E55" s="22" t="n">
        <v>72</v>
      </c>
      <c r="F55" s="10" t="n">
        <v>15.7</v>
      </c>
      <c r="G55" s="10" t="n">
        <v>23</v>
      </c>
    </row>
    <row r="56" customFormat="false" ht="15.75" hidden="false" customHeight="false" outlineLevel="0" collapsed="false">
      <c r="A56" s="17" t="n">
        <v>45910</v>
      </c>
      <c r="B56" s="7" t="n">
        <v>0.5</v>
      </c>
      <c r="C56" s="8" t="s">
        <v>10</v>
      </c>
      <c r="D56" s="18" t="n">
        <v>25.3</v>
      </c>
      <c r="E56" s="19" t="n">
        <v>68</v>
      </c>
      <c r="F56" s="10" t="n">
        <v>15.6</v>
      </c>
      <c r="G56" s="10" t="n">
        <v>27.1</v>
      </c>
    </row>
    <row r="57" customFormat="false" ht="15.75" hidden="false" customHeight="false" outlineLevel="0" collapsed="false">
      <c r="A57" s="17" t="n">
        <v>45910</v>
      </c>
      <c r="B57" s="7" t="n">
        <v>0.5</v>
      </c>
      <c r="C57" s="8" t="s">
        <v>8</v>
      </c>
      <c r="D57" s="18" t="n">
        <v>25.3</v>
      </c>
      <c r="E57" s="19" t="n">
        <v>68</v>
      </c>
      <c r="F57" s="10" t="n">
        <v>15.8</v>
      </c>
      <c r="G57" s="10" t="n">
        <v>27.8</v>
      </c>
    </row>
    <row r="58" customFormat="false" ht="15.75" hidden="false" customHeight="false" outlineLevel="0" collapsed="false">
      <c r="A58" s="17" t="n">
        <v>45910</v>
      </c>
      <c r="B58" s="7" t="n">
        <v>0.5</v>
      </c>
      <c r="C58" s="8" t="s">
        <v>9</v>
      </c>
      <c r="D58" s="18" t="n">
        <v>25.3</v>
      </c>
      <c r="E58" s="19" t="n">
        <v>68</v>
      </c>
      <c r="F58" s="10" t="n">
        <v>15.5</v>
      </c>
      <c r="G58" s="10" t="n">
        <v>28</v>
      </c>
    </row>
    <row r="59" customFormat="false" ht="15.75" hidden="false" customHeight="false" outlineLevel="0" collapsed="false">
      <c r="A59" s="17" t="n">
        <v>45910</v>
      </c>
      <c r="B59" s="7" t="n">
        <v>0.583333333333333</v>
      </c>
      <c r="C59" s="8" t="s">
        <v>10</v>
      </c>
      <c r="D59" s="9" t="n">
        <v>27.8</v>
      </c>
      <c r="E59" s="9" t="n">
        <v>64</v>
      </c>
      <c r="F59" s="10" t="n">
        <v>15.3</v>
      </c>
      <c r="G59" s="10" t="n">
        <v>29.4</v>
      </c>
    </row>
    <row r="60" customFormat="false" ht="15.75" hidden="false" customHeight="false" outlineLevel="0" collapsed="false">
      <c r="A60" s="17" t="n">
        <v>45910</v>
      </c>
      <c r="B60" s="7" t="n">
        <v>0.583333333333333</v>
      </c>
      <c r="C60" s="8" t="s">
        <v>8</v>
      </c>
      <c r="D60" s="9" t="n">
        <v>27.8</v>
      </c>
      <c r="E60" s="9" t="n">
        <v>64</v>
      </c>
      <c r="F60" s="10" t="n">
        <v>15.8</v>
      </c>
      <c r="G60" s="10" t="n">
        <v>29.2</v>
      </c>
    </row>
    <row r="61" customFormat="false" ht="15.75" hidden="false" customHeight="false" outlineLevel="0" collapsed="false">
      <c r="A61" s="17" t="n">
        <v>45910</v>
      </c>
      <c r="B61" s="7" t="n">
        <v>0.583333333333333</v>
      </c>
      <c r="C61" s="8" t="s">
        <v>9</v>
      </c>
      <c r="D61" s="9" t="n">
        <v>27.8</v>
      </c>
      <c r="E61" s="9" t="n">
        <v>64</v>
      </c>
      <c r="F61" s="10" t="n">
        <v>15.2</v>
      </c>
      <c r="G61" s="10" t="n">
        <v>29.1</v>
      </c>
    </row>
    <row r="62" customFormat="false" ht="15.75" hidden="false" customHeight="false" outlineLevel="0" collapsed="false">
      <c r="A62" s="17" t="n">
        <v>45910</v>
      </c>
      <c r="B62" s="7" t="n">
        <v>0.666666666666667</v>
      </c>
      <c r="C62" s="8" t="s">
        <v>10</v>
      </c>
      <c r="D62" s="9" t="n">
        <v>26.9</v>
      </c>
      <c r="E62" s="9" t="n">
        <v>69</v>
      </c>
      <c r="F62" s="10" t="n">
        <v>14.9</v>
      </c>
      <c r="G62" s="10" t="n">
        <v>29.5</v>
      </c>
    </row>
    <row r="63" customFormat="false" ht="15.75" hidden="false" customHeight="false" outlineLevel="0" collapsed="false">
      <c r="A63" s="17" t="n">
        <v>45910</v>
      </c>
      <c r="B63" s="7" t="n">
        <v>0.666666666666667</v>
      </c>
      <c r="C63" s="8" t="s">
        <v>8</v>
      </c>
      <c r="D63" s="9" t="n">
        <v>26.9</v>
      </c>
      <c r="E63" s="9" t="n">
        <v>69</v>
      </c>
      <c r="F63" s="10" t="n">
        <v>14.8</v>
      </c>
      <c r="G63" s="10" t="n">
        <v>29.9</v>
      </c>
    </row>
    <row r="64" customFormat="false" ht="15.75" hidden="false" customHeight="false" outlineLevel="0" collapsed="false">
      <c r="A64" s="17" t="n">
        <v>45910</v>
      </c>
      <c r="B64" s="7" t="n">
        <v>0.666666666666667</v>
      </c>
      <c r="C64" s="8" t="s">
        <v>9</v>
      </c>
      <c r="D64" s="9" t="n">
        <v>26.9</v>
      </c>
      <c r="E64" s="9" t="n">
        <v>69</v>
      </c>
      <c r="F64" s="10" t="n">
        <v>14.9</v>
      </c>
      <c r="G64" s="10" t="n">
        <v>30</v>
      </c>
    </row>
    <row r="65" customFormat="false" ht="15.75" hidden="false" customHeight="false" outlineLevel="0" collapsed="false">
      <c r="A65" s="17" t="n">
        <v>45910</v>
      </c>
      <c r="B65" s="7" t="n">
        <v>0.75</v>
      </c>
      <c r="C65" s="8" t="s">
        <v>10</v>
      </c>
      <c r="D65" s="9" t="n">
        <v>24.8</v>
      </c>
      <c r="E65" s="9" t="n">
        <v>65</v>
      </c>
      <c r="F65" s="10" t="n">
        <v>14.7</v>
      </c>
      <c r="G65" s="10" t="n">
        <v>29.8</v>
      </c>
    </row>
    <row r="66" customFormat="false" ht="15.75" hidden="false" customHeight="false" outlineLevel="0" collapsed="false">
      <c r="A66" s="17" t="n">
        <v>45910</v>
      </c>
      <c r="B66" s="7" t="n">
        <v>0.75</v>
      </c>
      <c r="C66" s="8" t="s">
        <v>8</v>
      </c>
      <c r="D66" s="9" t="n">
        <v>24.8</v>
      </c>
      <c r="E66" s="9" t="n">
        <v>65</v>
      </c>
      <c r="F66" s="10" t="n">
        <v>14.6</v>
      </c>
      <c r="G66" s="10" t="n">
        <v>30.2</v>
      </c>
    </row>
    <row r="67" customFormat="false" ht="15.75" hidden="false" customHeight="false" outlineLevel="0" collapsed="false">
      <c r="A67" s="17" t="n">
        <v>45910</v>
      </c>
      <c r="B67" s="7" t="n">
        <v>0.75</v>
      </c>
      <c r="C67" s="8" t="s">
        <v>9</v>
      </c>
      <c r="D67" s="9" t="n">
        <v>24.8</v>
      </c>
      <c r="E67" s="9" t="n">
        <v>65</v>
      </c>
      <c r="F67" s="10" t="n">
        <v>14.3</v>
      </c>
      <c r="G67" s="10" t="n">
        <v>31</v>
      </c>
    </row>
    <row r="68" customFormat="false" ht="15.75" hidden="false" customHeight="false" outlineLevel="0" collapsed="false">
      <c r="A68" s="17" t="n">
        <v>45911</v>
      </c>
      <c r="B68" s="7" t="n">
        <v>0.333333333333333</v>
      </c>
      <c r="C68" s="23" t="s">
        <v>10</v>
      </c>
      <c r="D68" s="9" t="n">
        <v>19.6</v>
      </c>
      <c r="E68" s="9" t="n">
        <v>70</v>
      </c>
      <c r="F68" s="10" t="n">
        <v>16.2</v>
      </c>
      <c r="G68" s="10" t="n">
        <v>19.2</v>
      </c>
    </row>
    <row r="69" customFormat="false" ht="15.75" hidden="false" customHeight="false" outlineLevel="0" collapsed="false">
      <c r="A69" s="17" t="n">
        <v>45911</v>
      </c>
      <c r="B69" s="7" t="n">
        <v>0.333333333333333</v>
      </c>
      <c r="C69" s="23" t="s">
        <v>8</v>
      </c>
      <c r="D69" s="9" t="n">
        <v>19.6</v>
      </c>
      <c r="E69" s="9" t="n">
        <v>70</v>
      </c>
      <c r="F69" s="10" t="n">
        <v>16.5</v>
      </c>
      <c r="G69" s="10" t="n">
        <v>19.8</v>
      </c>
    </row>
    <row r="70" customFormat="false" ht="15.75" hidden="false" customHeight="false" outlineLevel="0" collapsed="false">
      <c r="A70" s="17" t="n">
        <v>45911</v>
      </c>
      <c r="B70" s="7" t="n">
        <v>0.333333333333333</v>
      </c>
      <c r="C70" s="23" t="s">
        <v>9</v>
      </c>
      <c r="D70" s="9" t="n">
        <v>19.6</v>
      </c>
      <c r="E70" s="9" t="n">
        <v>70</v>
      </c>
      <c r="F70" s="10" t="n">
        <v>16.7</v>
      </c>
      <c r="G70" s="10" t="n">
        <v>19.1</v>
      </c>
    </row>
    <row r="71" customFormat="false" ht="15.75" hidden="false" customHeight="false" outlineLevel="0" collapsed="false">
      <c r="A71" s="17" t="n">
        <v>45911</v>
      </c>
      <c r="B71" s="7" t="n">
        <v>0.416666666666667</v>
      </c>
      <c r="C71" s="23" t="s">
        <v>10</v>
      </c>
      <c r="D71" s="9" t="n">
        <v>22.1</v>
      </c>
      <c r="E71" s="9" t="n">
        <v>69</v>
      </c>
      <c r="F71" s="10" t="n">
        <v>15.2</v>
      </c>
      <c r="G71" s="10" t="n">
        <v>23.2</v>
      </c>
    </row>
    <row r="72" customFormat="false" ht="15.75" hidden="false" customHeight="false" outlineLevel="0" collapsed="false">
      <c r="A72" s="17" t="n">
        <v>45911</v>
      </c>
      <c r="B72" s="7" t="n">
        <v>0.416666666666667</v>
      </c>
      <c r="C72" s="23" t="s">
        <v>8</v>
      </c>
      <c r="D72" s="9" t="n">
        <v>22.1</v>
      </c>
      <c r="E72" s="9" t="n">
        <v>69</v>
      </c>
      <c r="F72" s="10" t="n">
        <v>15.1</v>
      </c>
      <c r="G72" s="10" t="n">
        <v>23.6</v>
      </c>
    </row>
    <row r="73" customFormat="false" ht="15.75" hidden="false" customHeight="false" outlineLevel="0" collapsed="false">
      <c r="A73" s="17" t="n">
        <v>45911</v>
      </c>
      <c r="B73" s="7" t="n">
        <v>0.416666666666667</v>
      </c>
      <c r="C73" s="23" t="s">
        <v>9</v>
      </c>
      <c r="D73" s="9" t="n">
        <v>22.1</v>
      </c>
      <c r="E73" s="9" t="n">
        <v>69</v>
      </c>
      <c r="F73" s="10" t="n">
        <v>14.9</v>
      </c>
      <c r="G73" s="10" t="n">
        <v>24.1</v>
      </c>
    </row>
    <row r="74" customFormat="false" ht="15.75" hidden="false" customHeight="false" outlineLevel="0" collapsed="false">
      <c r="A74" s="17" t="n">
        <v>45911</v>
      </c>
      <c r="B74" s="7" t="n">
        <v>0.5</v>
      </c>
      <c r="C74" s="23" t="s">
        <v>10</v>
      </c>
      <c r="D74" s="24" t="n">
        <v>26.1</v>
      </c>
      <c r="E74" s="24" t="n">
        <v>65</v>
      </c>
      <c r="F74" s="25" t="n">
        <v>14.8</v>
      </c>
      <c r="G74" s="25" t="n">
        <v>27.2</v>
      </c>
    </row>
    <row r="75" customFormat="false" ht="15.75" hidden="false" customHeight="false" outlineLevel="0" collapsed="false">
      <c r="A75" s="17" t="n">
        <v>45911</v>
      </c>
      <c r="B75" s="7" t="n">
        <v>0.5</v>
      </c>
      <c r="C75" s="23" t="s">
        <v>8</v>
      </c>
      <c r="D75" s="24" t="n">
        <v>26.1</v>
      </c>
      <c r="E75" s="24" t="n">
        <v>65</v>
      </c>
      <c r="F75" s="10" t="n">
        <v>14.5</v>
      </c>
      <c r="G75" s="10" t="n">
        <v>27.9</v>
      </c>
    </row>
    <row r="76" customFormat="false" ht="15.75" hidden="false" customHeight="false" outlineLevel="0" collapsed="false">
      <c r="A76" s="17" t="n">
        <v>45911</v>
      </c>
      <c r="B76" s="7" t="n">
        <v>0.5</v>
      </c>
      <c r="C76" s="23" t="s">
        <v>9</v>
      </c>
      <c r="D76" s="24" t="n">
        <v>26.1</v>
      </c>
      <c r="E76" s="24" t="n">
        <v>65</v>
      </c>
      <c r="F76" s="10" t="n">
        <v>14.2</v>
      </c>
      <c r="G76" s="10" t="n">
        <v>28</v>
      </c>
    </row>
    <row r="77" customFormat="false" ht="15.75" hidden="false" customHeight="false" outlineLevel="0" collapsed="false">
      <c r="A77" s="17" t="n">
        <v>45911</v>
      </c>
      <c r="B77" s="7" t="n">
        <v>0.583333333333333</v>
      </c>
      <c r="C77" s="23" t="s">
        <v>10</v>
      </c>
      <c r="D77" s="9" t="n">
        <v>28.3</v>
      </c>
      <c r="E77" s="13" t="n">
        <v>64</v>
      </c>
      <c r="F77" s="10" t="n">
        <v>13.9</v>
      </c>
      <c r="G77" s="10" t="n">
        <v>29.3</v>
      </c>
    </row>
    <row r="78" customFormat="false" ht="15.75" hidden="false" customHeight="false" outlineLevel="0" collapsed="false">
      <c r="A78" s="17" t="n">
        <v>45911</v>
      </c>
      <c r="B78" s="7" t="n">
        <v>0.583333333333333</v>
      </c>
      <c r="C78" s="23" t="s">
        <v>8</v>
      </c>
      <c r="D78" s="9" t="n">
        <v>28.3</v>
      </c>
      <c r="E78" s="13" t="n">
        <v>64</v>
      </c>
      <c r="F78" s="10" t="n">
        <v>13.8</v>
      </c>
      <c r="G78" s="10" t="n">
        <v>29.5</v>
      </c>
    </row>
    <row r="79" customFormat="false" ht="15.75" hidden="false" customHeight="false" outlineLevel="0" collapsed="false">
      <c r="A79" s="17" t="n">
        <v>45911</v>
      </c>
      <c r="B79" s="7" t="n">
        <v>0.583333333333333</v>
      </c>
      <c r="C79" s="23" t="s">
        <v>9</v>
      </c>
      <c r="D79" s="9" t="n">
        <v>28.3</v>
      </c>
      <c r="E79" s="13" t="n">
        <v>64</v>
      </c>
      <c r="F79" s="10" t="n">
        <v>14</v>
      </c>
      <c r="G79" s="10" t="n">
        <v>29.4</v>
      </c>
    </row>
    <row r="80" customFormat="false" ht="15.75" hidden="false" customHeight="false" outlineLevel="0" collapsed="false">
      <c r="A80" s="17" t="n">
        <v>45911</v>
      </c>
      <c r="B80" s="7" t="n">
        <v>0.666666666666667</v>
      </c>
      <c r="C80" s="23" t="s">
        <v>10</v>
      </c>
      <c r="D80" s="9" t="n">
        <v>25</v>
      </c>
      <c r="E80" s="9" t="n">
        <v>67</v>
      </c>
      <c r="F80" s="10" t="n">
        <v>14.2</v>
      </c>
      <c r="G80" s="10" t="n">
        <v>27.9</v>
      </c>
    </row>
    <row r="81" customFormat="false" ht="15.75" hidden="false" customHeight="false" outlineLevel="0" collapsed="false">
      <c r="A81" s="17" t="n">
        <v>45911</v>
      </c>
      <c r="B81" s="7" t="n">
        <v>0.666666666666667</v>
      </c>
      <c r="C81" s="23" t="s">
        <v>8</v>
      </c>
      <c r="D81" s="9" t="n">
        <v>25</v>
      </c>
      <c r="E81" s="9" t="n">
        <v>67</v>
      </c>
      <c r="F81" s="10" t="n">
        <v>13.9</v>
      </c>
      <c r="G81" s="10" t="n">
        <v>28.2</v>
      </c>
    </row>
    <row r="82" customFormat="false" ht="15.75" hidden="false" customHeight="false" outlineLevel="0" collapsed="false">
      <c r="A82" s="17" t="n">
        <v>45911</v>
      </c>
      <c r="B82" s="7" t="n">
        <v>0.666666666666667</v>
      </c>
      <c r="C82" s="23" t="s">
        <v>9</v>
      </c>
      <c r="D82" s="9" t="n">
        <v>25</v>
      </c>
      <c r="E82" s="9" t="n">
        <v>67</v>
      </c>
      <c r="F82" s="10" t="n">
        <v>14.1</v>
      </c>
      <c r="G82" s="10" t="n">
        <v>27.9</v>
      </c>
    </row>
    <row r="83" customFormat="false" ht="15.75" hidden="false" customHeight="false" outlineLevel="0" collapsed="false">
      <c r="A83" s="17" t="n">
        <v>45911</v>
      </c>
      <c r="B83" s="7" t="n">
        <v>0.75</v>
      </c>
      <c r="C83" s="23" t="s">
        <v>10</v>
      </c>
      <c r="D83" s="9" t="n">
        <v>24.6</v>
      </c>
      <c r="E83" s="9" t="n">
        <v>68</v>
      </c>
      <c r="F83" s="10" t="n">
        <v>13.7</v>
      </c>
      <c r="G83" s="10" t="n">
        <v>26.8</v>
      </c>
    </row>
    <row r="84" customFormat="false" ht="15.75" hidden="false" customHeight="false" outlineLevel="0" collapsed="false">
      <c r="A84" s="17" t="n">
        <v>45911</v>
      </c>
      <c r="B84" s="7" t="n">
        <v>0.75</v>
      </c>
      <c r="C84" s="23" t="s">
        <v>8</v>
      </c>
      <c r="D84" s="26" t="n">
        <v>24.6</v>
      </c>
      <c r="E84" s="26" t="n">
        <v>68</v>
      </c>
      <c r="F84" s="27" t="n">
        <v>13.9</v>
      </c>
      <c r="G84" s="27" t="n">
        <v>27.8</v>
      </c>
    </row>
    <row r="85" customFormat="false" ht="15.75" hidden="false" customHeight="false" outlineLevel="0" collapsed="false">
      <c r="A85" s="17" t="n">
        <v>45911</v>
      </c>
      <c r="B85" s="7" t="n">
        <v>0.75</v>
      </c>
      <c r="C85" s="23" t="s">
        <v>9</v>
      </c>
      <c r="D85" s="26" t="n">
        <v>24.6</v>
      </c>
      <c r="E85" s="26" t="n">
        <v>68</v>
      </c>
      <c r="F85" s="27" t="n">
        <v>14.2</v>
      </c>
      <c r="G85" s="27" t="n">
        <v>26.1</v>
      </c>
    </row>
    <row r="86" customFormat="false" ht="15.75" hidden="false" customHeight="false" outlineLevel="0" collapsed="false">
      <c r="A86" s="17" t="n">
        <v>45912</v>
      </c>
      <c r="B86" s="7" t="n">
        <v>0.333333333333333</v>
      </c>
      <c r="C86" s="8" t="s">
        <v>10</v>
      </c>
      <c r="D86" s="26" t="n">
        <v>19.4</v>
      </c>
      <c r="E86" s="26" t="n">
        <v>76</v>
      </c>
      <c r="F86" s="27" t="n">
        <v>15.9</v>
      </c>
      <c r="G86" s="27" t="n">
        <v>18.3</v>
      </c>
    </row>
    <row r="87" customFormat="false" ht="15.75" hidden="false" customHeight="false" outlineLevel="0" collapsed="false">
      <c r="A87" s="17" t="n">
        <v>45912</v>
      </c>
      <c r="B87" s="7" t="n">
        <v>0.333333333333333</v>
      </c>
      <c r="C87" s="8" t="s">
        <v>8</v>
      </c>
      <c r="D87" s="26" t="n">
        <v>19.4</v>
      </c>
      <c r="E87" s="26" t="n">
        <v>76</v>
      </c>
      <c r="F87" s="27" t="n">
        <v>15.5</v>
      </c>
      <c r="G87" s="27" t="n">
        <v>17.2</v>
      </c>
    </row>
    <row r="88" customFormat="false" ht="15.75" hidden="false" customHeight="false" outlineLevel="0" collapsed="false">
      <c r="A88" s="17" t="n">
        <v>45912</v>
      </c>
      <c r="B88" s="7" t="n">
        <v>0.333333333333333</v>
      </c>
      <c r="C88" s="8" t="s">
        <v>9</v>
      </c>
      <c r="D88" s="26" t="n">
        <v>19.4</v>
      </c>
      <c r="E88" s="26" t="n">
        <v>76</v>
      </c>
      <c r="F88" s="27" t="n">
        <v>15.5</v>
      </c>
      <c r="G88" s="27" t="n">
        <v>18.1</v>
      </c>
    </row>
    <row r="89" customFormat="false" ht="15.75" hidden="false" customHeight="false" outlineLevel="0" collapsed="false">
      <c r="A89" s="17" t="n">
        <v>45912</v>
      </c>
      <c r="B89" s="7" t="n">
        <v>0.416666666666667</v>
      </c>
      <c r="C89" s="8" t="s">
        <v>10</v>
      </c>
      <c r="D89" s="26" t="n">
        <v>22.8</v>
      </c>
      <c r="E89" s="26" t="n">
        <v>74</v>
      </c>
      <c r="F89" s="27" t="n">
        <v>13.6</v>
      </c>
      <c r="G89" s="27" t="n">
        <v>25.3</v>
      </c>
    </row>
    <row r="90" customFormat="false" ht="15.75" hidden="false" customHeight="false" outlineLevel="0" collapsed="false">
      <c r="A90" s="17" t="n">
        <v>45912</v>
      </c>
      <c r="B90" s="7" t="n">
        <v>0.416666666666667</v>
      </c>
      <c r="C90" s="8" t="s">
        <v>8</v>
      </c>
      <c r="D90" s="26" t="n">
        <v>22.8</v>
      </c>
      <c r="E90" s="26" t="n">
        <v>74</v>
      </c>
      <c r="F90" s="27" t="n">
        <v>14.4</v>
      </c>
      <c r="G90" s="27" t="n">
        <v>26.1</v>
      </c>
    </row>
    <row r="91" customFormat="false" ht="15.75" hidden="false" customHeight="false" outlineLevel="0" collapsed="false">
      <c r="A91" s="17" t="n">
        <v>45912</v>
      </c>
      <c r="B91" s="7" t="n">
        <v>0.416666666666667</v>
      </c>
      <c r="C91" s="8" t="s">
        <v>9</v>
      </c>
      <c r="D91" s="9" t="n">
        <v>22.8</v>
      </c>
      <c r="E91" s="9" t="n">
        <v>74</v>
      </c>
      <c r="F91" s="10" t="n">
        <v>13.7</v>
      </c>
      <c r="G91" s="10" t="n">
        <v>24.8</v>
      </c>
    </row>
    <row r="92" customFormat="false" ht="15.75" hidden="false" customHeight="false" outlineLevel="0" collapsed="false">
      <c r="A92" s="17" t="n">
        <v>45912</v>
      </c>
      <c r="B92" s="7" t="n">
        <v>0.5</v>
      </c>
      <c r="C92" s="8" t="s">
        <v>10</v>
      </c>
      <c r="D92" s="9" t="n">
        <v>24.8</v>
      </c>
      <c r="E92" s="9" t="n">
        <v>70</v>
      </c>
      <c r="F92" s="10" t="n">
        <v>12.9</v>
      </c>
      <c r="G92" s="10" t="n">
        <v>25.1</v>
      </c>
    </row>
    <row r="93" customFormat="false" ht="15.75" hidden="false" customHeight="false" outlineLevel="0" collapsed="false">
      <c r="A93" s="17" t="n">
        <v>45912</v>
      </c>
      <c r="B93" s="7" t="n">
        <v>0.5</v>
      </c>
      <c r="C93" s="8" t="s">
        <v>8</v>
      </c>
      <c r="D93" s="9" t="n">
        <v>24.8</v>
      </c>
      <c r="E93" s="9" t="n">
        <v>70</v>
      </c>
      <c r="F93" s="10" t="n">
        <v>13.9</v>
      </c>
      <c r="G93" s="10" t="n">
        <v>27.6</v>
      </c>
    </row>
    <row r="94" customFormat="false" ht="15.75" hidden="false" customHeight="false" outlineLevel="0" collapsed="false">
      <c r="A94" s="17" t="n">
        <v>45912</v>
      </c>
      <c r="B94" s="7" t="n">
        <v>0.5</v>
      </c>
      <c r="C94" s="8" t="s">
        <v>9</v>
      </c>
      <c r="D94" s="9" t="n">
        <v>24.8</v>
      </c>
      <c r="E94" s="9" t="n">
        <v>70</v>
      </c>
      <c r="F94" s="10" t="n">
        <v>13.1</v>
      </c>
      <c r="G94" s="10" t="n">
        <v>28.8</v>
      </c>
    </row>
    <row r="95" customFormat="false" ht="15.75" hidden="false" customHeight="false" outlineLevel="0" collapsed="false">
      <c r="A95" s="17" t="n">
        <v>45912</v>
      </c>
      <c r="B95" s="7" t="n">
        <v>0.583333333333333</v>
      </c>
      <c r="C95" s="8" t="s">
        <v>10</v>
      </c>
      <c r="D95" s="9" t="n">
        <v>25.6</v>
      </c>
      <c r="E95" s="9" t="n">
        <v>67</v>
      </c>
      <c r="F95" s="10" t="n">
        <v>12.6</v>
      </c>
      <c r="G95" s="10" t="n">
        <v>29.1</v>
      </c>
    </row>
    <row r="96" customFormat="false" ht="15.75" hidden="false" customHeight="false" outlineLevel="0" collapsed="false">
      <c r="A96" s="17" t="n">
        <v>45912</v>
      </c>
      <c r="B96" s="7" t="n">
        <v>0.583333333333333</v>
      </c>
      <c r="C96" s="8" t="s">
        <v>8</v>
      </c>
      <c r="D96" s="9" t="n">
        <v>25.6</v>
      </c>
      <c r="E96" s="9" t="n">
        <v>67</v>
      </c>
      <c r="F96" s="10" t="n">
        <v>13.1</v>
      </c>
      <c r="G96" s="10" t="n">
        <v>29.7</v>
      </c>
    </row>
    <row r="97" customFormat="false" ht="15.75" hidden="false" customHeight="false" outlineLevel="0" collapsed="false">
      <c r="A97" s="17" t="n">
        <v>45912</v>
      </c>
      <c r="B97" s="7" t="n">
        <v>0.583333333333333</v>
      </c>
      <c r="C97" s="8" t="s">
        <v>9</v>
      </c>
      <c r="D97" s="9" t="n">
        <v>25.6</v>
      </c>
      <c r="E97" s="9" t="n">
        <v>67</v>
      </c>
      <c r="F97" s="10" t="n">
        <v>12.6</v>
      </c>
      <c r="G97" s="10" t="n">
        <v>30.3</v>
      </c>
    </row>
    <row r="98" customFormat="false" ht="15.75" hidden="false" customHeight="false" outlineLevel="0" collapsed="false">
      <c r="A98" s="17" t="n">
        <v>45912</v>
      </c>
      <c r="B98" s="7" t="n">
        <v>0.666666666666667</v>
      </c>
      <c r="C98" s="8" t="s">
        <v>10</v>
      </c>
      <c r="D98" s="9" t="n">
        <v>26.3</v>
      </c>
      <c r="E98" s="9" t="n">
        <v>69</v>
      </c>
      <c r="F98" s="10" t="n">
        <v>12.1</v>
      </c>
      <c r="G98" s="10" t="n">
        <v>30.1</v>
      </c>
    </row>
    <row r="99" customFormat="false" ht="15.75" hidden="false" customHeight="false" outlineLevel="0" collapsed="false">
      <c r="A99" s="17" t="n">
        <v>45912</v>
      </c>
      <c r="B99" s="7" t="n">
        <v>0.666666666666667</v>
      </c>
      <c r="C99" s="8" t="s">
        <v>8</v>
      </c>
      <c r="D99" s="9" t="n">
        <v>26.3</v>
      </c>
      <c r="E99" s="9" t="n">
        <v>69</v>
      </c>
      <c r="F99" s="10" t="n">
        <v>12.4</v>
      </c>
      <c r="G99" s="10" t="n">
        <v>30.5</v>
      </c>
    </row>
    <row r="100" customFormat="false" ht="15.75" hidden="false" customHeight="false" outlineLevel="0" collapsed="false">
      <c r="A100" s="17" t="n">
        <v>45912</v>
      </c>
      <c r="B100" s="7" t="n">
        <v>0.666666666666667</v>
      </c>
      <c r="C100" s="8" t="s">
        <v>9</v>
      </c>
      <c r="D100" s="9" t="n">
        <v>26.3</v>
      </c>
      <c r="E100" s="9" t="n">
        <v>69</v>
      </c>
      <c r="F100" s="10" t="n">
        <v>11.9</v>
      </c>
      <c r="G100" s="10" t="n">
        <v>31.2</v>
      </c>
    </row>
    <row r="101" customFormat="false" ht="15.75" hidden="false" customHeight="false" outlineLevel="0" collapsed="false">
      <c r="A101" s="17" t="n">
        <v>45912</v>
      </c>
      <c r="B101" s="7" t="n">
        <v>0.75</v>
      </c>
      <c r="C101" s="8" t="s">
        <v>10</v>
      </c>
      <c r="D101" s="9" t="n">
        <v>24.7</v>
      </c>
      <c r="E101" s="9" t="n">
        <v>68</v>
      </c>
      <c r="F101" s="10" t="n">
        <v>11.8</v>
      </c>
      <c r="G101" s="10" t="n">
        <v>29.4</v>
      </c>
    </row>
    <row r="102" customFormat="false" ht="15.75" hidden="false" customHeight="false" outlineLevel="0" collapsed="false">
      <c r="A102" s="17" t="n">
        <v>45912</v>
      </c>
      <c r="B102" s="7" t="n">
        <v>0.75</v>
      </c>
      <c r="C102" s="8" t="s">
        <v>8</v>
      </c>
      <c r="D102" s="9" t="n">
        <v>24.7</v>
      </c>
      <c r="E102" s="9" t="n">
        <v>68</v>
      </c>
      <c r="F102" s="10" t="n">
        <v>12.1</v>
      </c>
      <c r="G102" s="10" t="n">
        <v>29.1</v>
      </c>
    </row>
    <row r="103" customFormat="false" ht="15.75" hidden="false" customHeight="false" outlineLevel="0" collapsed="false">
      <c r="A103" s="17" t="n">
        <v>45912</v>
      </c>
      <c r="B103" s="7" t="n">
        <v>0.75</v>
      </c>
      <c r="C103" s="8" t="s">
        <v>9</v>
      </c>
      <c r="D103" s="9" t="n">
        <v>24.7</v>
      </c>
      <c r="E103" s="9" t="n">
        <v>68</v>
      </c>
      <c r="F103" s="10" t="n">
        <v>11.5</v>
      </c>
      <c r="G103" s="10" t="n">
        <v>28.1</v>
      </c>
    </row>
    <row r="104" customFormat="false" ht="15.75" hidden="false" customHeight="false" outlineLevel="0" collapsed="false">
      <c r="A104" s="28" t="n">
        <v>45913</v>
      </c>
      <c r="B104" s="7" t="n">
        <v>0.333333333333333</v>
      </c>
      <c r="C104" s="8" t="s">
        <v>10</v>
      </c>
      <c r="D104" s="9" t="n">
        <v>21.2</v>
      </c>
      <c r="E104" s="9" t="n">
        <v>74</v>
      </c>
      <c r="F104" s="10" t="n">
        <v>12.8</v>
      </c>
      <c r="G104" s="10" t="n">
        <v>20.1</v>
      </c>
    </row>
    <row r="105" customFormat="false" ht="15.75" hidden="false" customHeight="false" outlineLevel="0" collapsed="false">
      <c r="A105" s="28" t="n">
        <v>45913</v>
      </c>
      <c r="B105" s="7" t="n">
        <v>0.333333333333333</v>
      </c>
      <c r="C105" s="8" t="s">
        <v>8</v>
      </c>
      <c r="D105" s="9" t="n">
        <v>21.2</v>
      </c>
      <c r="E105" s="9" t="n">
        <v>74</v>
      </c>
      <c r="F105" s="10" t="n">
        <v>12.3</v>
      </c>
      <c r="G105" s="10" t="n">
        <v>21.2</v>
      </c>
    </row>
    <row r="106" customFormat="false" ht="15.75" hidden="false" customHeight="false" outlineLevel="0" collapsed="false">
      <c r="A106" s="28" t="n">
        <v>45913</v>
      </c>
      <c r="B106" s="7" t="n">
        <v>0.333333333333333</v>
      </c>
      <c r="C106" s="8" t="s">
        <v>9</v>
      </c>
      <c r="D106" s="9" t="n">
        <v>21.2</v>
      </c>
      <c r="E106" s="9" t="n">
        <v>74</v>
      </c>
      <c r="F106" s="10" t="n">
        <v>12.5</v>
      </c>
      <c r="G106" s="10" t="n">
        <v>19.9</v>
      </c>
    </row>
    <row r="107" customFormat="false" ht="15.75" hidden="false" customHeight="false" outlineLevel="0" collapsed="false">
      <c r="A107" s="28" t="n">
        <v>45913</v>
      </c>
      <c r="B107" s="7" t="n">
        <v>0.416666666666667</v>
      </c>
      <c r="C107" s="8" t="s">
        <v>10</v>
      </c>
      <c r="D107" s="9" t="n">
        <v>23.4</v>
      </c>
      <c r="E107" s="9" t="n">
        <v>72</v>
      </c>
      <c r="F107" s="10" t="n">
        <v>11.6</v>
      </c>
      <c r="G107" s="10" t="n">
        <v>24.6</v>
      </c>
    </row>
    <row r="108" customFormat="false" ht="15.75" hidden="false" customHeight="false" outlineLevel="0" collapsed="false">
      <c r="A108" s="28" t="n">
        <v>45913</v>
      </c>
      <c r="B108" s="7" t="n">
        <v>0.416666666666667</v>
      </c>
      <c r="C108" s="8" t="s">
        <v>8</v>
      </c>
      <c r="D108" s="9" t="n">
        <v>23.4</v>
      </c>
      <c r="E108" s="9" t="n">
        <v>72</v>
      </c>
      <c r="F108" s="10" t="n">
        <v>11.7</v>
      </c>
      <c r="G108" s="10" t="n">
        <v>23.7</v>
      </c>
    </row>
    <row r="109" customFormat="false" ht="15.75" hidden="false" customHeight="false" outlineLevel="0" collapsed="false">
      <c r="A109" s="28" t="n">
        <v>45913</v>
      </c>
      <c r="B109" s="7" t="n">
        <v>0.416666666666667</v>
      </c>
      <c r="C109" s="8" t="s">
        <v>9</v>
      </c>
      <c r="D109" s="9" t="n">
        <v>23.4</v>
      </c>
      <c r="E109" s="9" t="n">
        <v>72</v>
      </c>
      <c r="F109" s="10" t="n">
        <v>11.8</v>
      </c>
      <c r="G109" s="10" t="n">
        <v>24.7</v>
      </c>
    </row>
    <row r="110" customFormat="false" ht="15.75" hidden="false" customHeight="false" outlineLevel="0" collapsed="false">
      <c r="A110" s="28" t="n">
        <v>45913</v>
      </c>
      <c r="B110" s="7" t="n">
        <v>0.5</v>
      </c>
      <c r="C110" s="8" t="s">
        <v>10</v>
      </c>
      <c r="D110" s="9" t="n">
        <v>26.5</v>
      </c>
      <c r="E110" s="9" t="n">
        <v>69</v>
      </c>
      <c r="F110" s="10" t="n">
        <v>11.2</v>
      </c>
      <c r="G110" s="10" t="n">
        <v>28.3</v>
      </c>
    </row>
    <row r="111" customFormat="false" ht="15.75" hidden="false" customHeight="false" outlineLevel="0" collapsed="false">
      <c r="A111" s="28" t="n">
        <v>45913</v>
      </c>
      <c r="B111" s="7" t="n">
        <v>0.5</v>
      </c>
      <c r="C111" s="8" t="s">
        <v>8</v>
      </c>
      <c r="D111" s="9" t="n">
        <v>26.5</v>
      </c>
      <c r="E111" s="9" t="n">
        <v>69</v>
      </c>
      <c r="F111" s="10" t="n">
        <v>10.9</v>
      </c>
      <c r="G111" s="10" t="n">
        <v>28.5</v>
      </c>
    </row>
    <row r="112" customFormat="false" ht="15.75" hidden="false" customHeight="false" outlineLevel="0" collapsed="false">
      <c r="A112" s="28" t="n">
        <v>45913</v>
      </c>
      <c r="B112" s="7" t="n">
        <v>0.5</v>
      </c>
      <c r="C112" s="8" t="s">
        <v>9</v>
      </c>
      <c r="D112" s="9" t="n">
        <v>26.5</v>
      </c>
      <c r="E112" s="9" t="n">
        <v>69</v>
      </c>
      <c r="F112" s="10" t="n">
        <v>10.5</v>
      </c>
      <c r="G112" s="10" t="n">
        <v>29.3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60156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  <col collapsed="false" customWidth="true" hidden="false" outlineLevel="0" max="8" min="8" style="2" width="22.81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9" t="s">
        <v>11</v>
      </c>
    </row>
    <row r="2" customFormat="false" ht="15.75" hidden="false" customHeight="false" outlineLevel="0" collapsed="false">
      <c r="A2" s="6" t="n">
        <v>45907</v>
      </c>
      <c r="B2" s="7" t="n">
        <v>0.5</v>
      </c>
      <c r="C2" s="8" t="s">
        <v>7</v>
      </c>
      <c r="D2" s="30" t="n">
        <v>23.1</v>
      </c>
      <c r="E2" s="31" t="n">
        <v>70</v>
      </c>
      <c r="F2" s="32" t="n">
        <v>100</v>
      </c>
      <c r="G2" s="33" t="n">
        <v>23.3</v>
      </c>
      <c r="H2" s="34" t="n">
        <f aca="false">3.435*EXP(F2*0.02)</f>
        <v>25.3814076998268</v>
      </c>
    </row>
    <row r="3" customFormat="false" ht="15.75" hidden="false" customHeight="false" outlineLevel="0" collapsed="false">
      <c r="A3" s="6" t="n">
        <v>45907</v>
      </c>
      <c r="B3" s="7" t="n">
        <v>0.5</v>
      </c>
      <c r="C3" s="8" t="s">
        <v>8</v>
      </c>
      <c r="D3" s="30" t="n">
        <v>23.1</v>
      </c>
      <c r="E3" s="31" t="n">
        <v>70</v>
      </c>
      <c r="F3" s="35" t="n">
        <v>98</v>
      </c>
      <c r="G3" s="33" t="n">
        <v>24.1</v>
      </c>
      <c r="H3" s="34" t="n">
        <f aca="false">3.435*EXP(F3*0.02)</f>
        <v>24.386188468813</v>
      </c>
    </row>
    <row r="4" customFormat="false" ht="15.75" hidden="false" customHeight="false" outlineLevel="0" collapsed="false">
      <c r="A4" s="6" t="n">
        <v>45907</v>
      </c>
      <c r="B4" s="7" t="n">
        <v>0.5</v>
      </c>
      <c r="C4" s="8" t="s">
        <v>9</v>
      </c>
      <c r="D4" s="30" t="n">
        <v>23.1</v>
      </c>
      <c r="E4" s="31" t="n">
        <v>70</v>
      </c>
      <c r="F4" s="32" t="n">
        <v>100</v>
      </c>
      <c r="G4" s="33" t="n">
        <v>23.8</v>
      </c>
      <c r="H4" s="34" t="n">
        <f aca="false">3.435*EXP(F4*0.02)</f>
        <v>25.3814076998268</v>
      </c>
    </row>
    <row r="5" customFormat="false" ht="15.75" hidden="false" customHeight="false" outlineLevel="0" collapsed="false">
      <c r="A5" s="6" t="n">
        <v>45907</v>
      </c>
      <c r="B5" s="7" t="n">
        <v>0.583333333333333</v>
      </c>
      <c r="C5" s="8" t="s">
        <v>10</v>
      </c>
      <c r="D5" s="30" t="n">
        <v>24.7</v>
      </c>
      <c r="E5" s="36" t="n">
        <v>62</v>
      </c>
      <c r="F5" s="32" t="n">
        <v>100</v>
      </c>
      <c r="G5" s="33" t="n">
        <v>26.3</v>
      </c>
      <c r="H5" s="34" t="n">
        <f aca="false">3.435*EXP(F5*0.02)</f>
        <v>25.3814076998268</v>
      </c>
    </row>
    <row r="6" customFormat="false" ht="15.75" hidden="false" customHeight="false" outlineLevel="0" collapsed="false">
      <c r="A6" s="6" t="n">
        <v>45907</v>
      </c>
      <c r="B6" s="7" t="n">
        <v>0.583333333333333</v>
      </c>
      <c r="C6" s="8" t="s">
        <v>8</v>
      </c>
      <c r="D6" s="30" t="n">
        <v>24.7</v>
      </c>
      <c r="E6" s="36" t="n">
        <v>62</v>
      </c>
      <c r="F6" s="35" t="n">
        <v>97</v>
      </c>
      <c r="G6" s="33" t="n">
        <v>26.7</v>
      </c>
      <c r="H6" s="34" t="n">
        <f aca="false">3.435*EXP(F6*0.02)</f>
        <v>23.903309584139</v>
      </c>
    </row>
    <row r="7" customFormat="false" ht="15.75" hidden="false" customHeight="false" outlineLevel="0" collapsed="false">
      <c r="A7" s="6" t="n">
        <v>45907</v>
      </c>
      <c r="B7" s="7" t="n">
        <v>0.583333333333333</v>
      </c>
      <c r="C7" s="8" t="s">
        <v>9</v>
      </c>
      <c r="D7" s="30" t="n">
        <v>24.7</v>
      </c>
      <c r="E7" s="36" t="n">
        <v>62</v>
      </c>
      <c r="F7" s="32" t="n">
        <v>99</v>
      </c>
      <c r="G7" s="33" t="n">
        <v>25.4</v>
      </c>
      <c r="H7" s="34" t="n">
        <f aca="false">3.435*EXP(F7*0.02)</f>
        <v>24.8788221540281</v>
      </c>
    </row>
    <row r="8" customFormat="false" ht="15.75" hidden="false" customHeight="false" outlineLevel="0" collapsed="false">
      <c r="A8" s="6" t="n">
        <v>45907</v>
      </c>
      <c r="B8" s="7" t="n">
        <v>0.666666666666667</v>
      </c>
      <c r="C8" s="8" t="s">
        <v>10</v>
      </c>
      <c r="D8" s="30" t="n">
        <v>24.1</v>
      </c>
      <c r="E8" s="31" t="n">
        <v>63</v>
      </c>
      <c r="F8" s="30" t="n">
        <v>100</v>
      </c>
      <c r="G8" s="33" t="n">
        <v>26.9</v>
      </c>
      <c r="H8" s="34" t="n">
        <f aca="false">3.435*EXP(F8*0.02)</f>
        <v>25.3814076998268</v>
      </c>
    </row>
    <row r="9" customFormat="false" ht="15.75" hidden="false" customHeight="false" outlineLevel="0" collapsed="false">
      <c r="A9" s="6" t="n">
        <v>45907</v>
      </c>
      <c r="B9" s="7" t="n">
        <v>0.666666666666667</v>
      </c>
      <c r="C9" s="8" t="s">
        <v>8</v>
      </c>
      <c r="D9" s="30" t="n">
        <v>24.1</v>
      </c>
      <c r="E9" s="31" t="n">
        <v>63</v>
      </c>
      <c r="F9" s="37" t="n">
        <v>97</v>
      </c>
      <c r="G9" s="33" t="n">
        <v>27.9</v>
      </c>
      <c r="H9" s="34" t="n">
        <f aca="false">3.435*EXP(F9*0.02)</f>
        <v>23.903309584139</v>
      </c>
    </row>
    <row r="10" customFormat="false" ht="15.75" hidden="false" customHeight="false" outlineLevel="0" collapsed="false">
      <c r="A10" s="6" t="n">
        <v>45907</v>
      </c>
      <c r="B10" s="7" t="n">
        <v>0.666666666666667</v>
      </c>
      <c r="C10" s="8" t="s">
        <v>9</v>
      </c>
      <c r="D10" s="30" t="n">
        <v>24.1</v>
      </c>
      <c r="E10" s="31" t="n">
        <v>63</v>
      </c>
      <c r="F10" s="30" t="n">
        <v>98</v>
      </c>
      <c r="G10" s="33" t="n">
        <v>25.4</v>
      </c>
      <c r="H10" s="34" t="n">
        <f aca="false">3.435*EXP(F10*0.02)</f>
        <v>24.386188468813</v>
      </c>
    </row>
    <row r="11" customFormat="false" ht="15.75" hidden="false" customHeight="false" outlineLevel="0" collapsed="false">
      <c r="A11" s="6" t="n">
        <v>45907</v>
      </c>
      <c r="B11" s="7" t="n">
        <v>0.75</v>
      </c>
      <c r="C11" s="8" t="s">
        <v>10</v>
      </c>
      <c r="D11" s="33" t="n">
        <v>23.6</v>
      </c>
      <c r="E11" s="36" t="n">
        <v>64</v>
      </c>
      <c r="F11" s="32" t="n">
        <v>100</v>
      </c>
      <c r="G11" s="38" t="n">
        <v>28.9</v>
      </c>
      <c r="H11" s="34" t="n">
        <f aca="false">3.435*EXP(F11*0.02)</f>
        <v>25.3814076998268</v>
      </c>
    </row>
    <row r="12" customFormat="false" ht="15.75" hidden="false" customHeight="false" outlineLevel="0" collapsed="false">
      <c r="A12" s="6" t="n">
        <v>45907</v>
      </c>
      <c r="B12" s="7" t="n">
        <v>0.75</v>
      </c>
      <c r="C12" s="8" t="s">
        <v>8</v>
      </c>
      <c r="D12" s="33" t="n">
        <v>23.6</v>
      </c>
      <c r="E12" s="36" t="n">
        <v>64</v>
      </c>
      <c r="F12" s="32" t="n">
        <v>96.5</v>
      </c>
      <c r="G12" s="38" t="n">
        <v>30.2</v>
      </c>
      <c r="H12" s="34" t="n">
        <f aca="false">3.435*EXP(F12*0.02)</f>
        <v>23.6654676798317</v>
      </c>
    </row>
    <row r="13" customFormat="false" ht="15.75" hidden="false" customHeight="false" outlineLevel="0" collapsed="false">
      <c r="A13" s="6" t="n">
        <v>45907</v>
      </c>
      <c r="B13" s="7" t="n">
        <v>0.75</v>
      </c>
      <c r="C13" s="8" t="s">
        <v>9</v>
      </c>
      <c r="D13" s="33" t="n">
        <v>23.6</v>
      </c>
      <c r="E13" s="36" t="n">
        <v>64</v>
      </c>
      <c r="F13" s="32" t="n">
        <v>98</v>
      </c>
      <c r="G13" s="38" t="n">
        <v>27.9</v>
      </c>
      <c r="H13" s="34" t="n">
        <f aca="false">3.435*EXP(F13*0.02)</f>
        <v>24.386188468813</v>
      </c>
    </row>
    <row r="14" customFormat="false" ht="15.75" hidden="false" customHeight="false" outlineLevel="0" collapsed="false">
      <c r="A14" s="6" t="n">
        <v>45908</v>
      </c>
      <c r="B14" s="7" t="n">
        <v>0.333333333333333</v>
      </c>
      <c r="C14" s="8" t="s">
        <v>10</v>
      </c>
      <c r="D14" s="30" t="n">
        <v>20.2</v>
      </c>
      <c r="E14" s="36" t="n">
        <v>72</v>
      </c>
      <c r="F14" s="32" t="n">
        <v>100</v>
      </c>
      <c r="G14" s="38" t="n">
        <v>21</v>
      </c>
      <c r="H14" s="34" t="n">
        <f aca="false">3.435*EXP(F14*0.02)</f>
        <v>25.3814076998268</v>
      </c>
    </row>
    <row r="15" customFormat="false" ht="15.75" hidden="false" customHeight="false" outlineLevel="0" collapsed="false">
      <c r="A15" s="6" t="n">
        <v>45908</v>
      </c>
      <c r="B15" s="7" t="n">
        <v>0.333333333333333</v>
      </c>
      <c r="C15" s="8" t="s">
        <v>8</v>
      </c>
      <c r="D15" s="30" t="n">
        <v>20.2</v>
      </c>
      <c r="E15" s="36" t="n">
        <v>72</v>
      </c>
      <c r="F15" s="35" t="n">
        <v>96.7</v>
      </c>
      <c r="G15" s="38" t="n">
        <v>20.8</v>
      </c>
      <c r="H15" s="34" t="n">
        <f aca="false">3.435*EXP(F15*0.02)</f>
        <v>23.7603191269768</v>
      </c>
    </row>
    <row r="16" customFormat="false" ht="15.75" hidden="false" customHeight="false" outlineLevel="0" collapsed="false">
      <c r="A16" s="6" t="n">
        <v>45908</v>
      </c>
      <c r="B16" s="7" t="n">
        <v>0.333333333333333</v>
      </c>
      <c r="C16" s="8" t="s">
        <v>9</v>
      </c>
      <c r="D16" s="30" t="n">
        <v>20.2</v>
      </c>
      <c r="E16" s="36" t="n">
        <v>72</v>
      </c>
      <c r="F16" s="32" t="n">
        <v>94.6</v>
      </c>
      <c r="G16" s="38" t="n">
        <v>23.8</v>
      </c>
      <c r="H16" s="34" t="n">
        <f aca="false">3.435*EXP(F16*0.02)</f>
        <v>22.7830519876164</v>
      </c>
    </row>
    <row r="17" customFormat="false" ht="15.75" hidden="false" customHeight="false" outlineLevel="0" collapsed="false">
      <c r="A17" s="6" t="n">
        <v>45908</v>
      </c>
      <c r="B17" s="7" t="n">
        <v>0.416666666666667</v>
      </c>
      <c r="C17" s="8" t="s">
        <v>10</v>
      </c>
      <c r="D17" s="33" t="n">
        <v>23.4</v>
      </c>
      <c r="E17" s="36" t="n">
        <v>71</v>
      </c>
      <c r="F17" s="32" t="n">
        <v>100</v>
      </c>
      <c r="G17" s="38" t="n">
        <v>25.9</v>
      </c>
      <c r="H17" s="34" t="n">
        <f aca="false">3.435*EXP(F17*0.02)</f>
        <v>25.3814076998268</v>
      </c>
    </row>
    <row r="18" customFormat="false" ht="15.75" hidden="false" customHeight="false" outlineLevel="0" collapsed="false">
      <c r="A18" s="6" t="n">
        <v>45908</v>
      </c>
      <c r="B18" s="7" t="n">
        <v>0.416666666666667</v>
      </c>
      <c r="C18" s="8" t="s">
        <v>8</v>
      </c>
      <c r="D18" s="33" t="n">
        <v>23.4</v>
      </c>
      <c r="E18" s="36" t="n">
        <v>71</v>
      </c>
      <c r="F18" s="38" t="n">
        <v>95.3</v>
      </c>
      <c r="G18" s="38" t="n">
        <v>26.3</v>
      </c>
      <c r="H18" s="34" t="n">
        <f aca="false">3.435*EXP(F18*0.02)</f>
        <v>23.1042579105574</v>
      </c>
    </row>
    <row r="19" customFormat="false" ht="15.75" hidden="false" customHeight="false" outlineLevel="0" collapsed="false">
      <c r="A19" s="6" t="n">
        <v>45908</v>
      </c>
      <c r="B19" s="7" t="n">
        <v>0.416666666666667</v>
      </c>
      <c r="C19" s="8" t="s">
        <v>9</v>
      </c>
      <c r="D19" s="33" t="n">
        <v>23.4</v>
      </c>
      <c r="E19" s="36" t="n">
        <v>71</v>
      </c>
      <c r="F19" s="38" t="n">
        <v>94.6</v>
      </c>
      <c r="G19" s="38" t="n">
        <v>25.8</v>
      </c>
      <c r="H19" s="34" t="n">
        <f aca="false">3.435*EXP(F19*0.02)</f>
        <v>22.7830519876164</v>
      </c>
    </row>
    <row r="20" customFormat="false" ht="15.75" hidden="false" customHeight="false" outlineLevel="0" collapsed="false">
      <c r="A20" s="6" t="n">
        <v>45908</v>
      </c>
      <c r="B20" s="7" t="n">
        <v>0.5</v>
      </c>
      <c r="C20" s="8" t="s">
        <v>10</v>
      </c>
      <c r="D20" s="30" t="n">
        <v>24.3</v>
      </c>
      <c r="E20" s="36" t="n">
        <v>69</v>
      </c>
      <c r="F20" s="33" t="n">
        <v>99</v>
      </c>
      <c r="G20" s="33" t="n">
        <v>28.3</v>
      </c>
      <c r="H20" s="34" t="n">
        <f aca="false">3.435*EXP(F20*0.02)</f>
        <v>24.8788221540281</v>
      </c>
    </row>
    <row r="21" customFormat="false" ht="15.75" hidden="false" customHeight="false" outlineLevel="0" collapsed="false">
      <c r="A21" s="6" t="n">
        <v>45908</v>
      </c>
      <c r="B21" s="7" t="n">
        <v>0.5</v>
      </c>
      <c r="C21" s="8" t="s">
        <v>8</v>
      </c>
      <c r="D21" s="30" t="n">
        <v>24.3</v>
      </c>
      <c r="E21" s="36" t="n">
        <v>69</v>
      </c>
      <c r="F21" s="39" t="n">
        <v>88.9</v>
      </c>
      <c r="G21" s="33" t="n">
        <v>28.9</v>
      </c>
      <c r="H21" s="34" t="n">
        <f aca="false">3.435*EXP(F21*0.02)</f>
        <v>20.3283593952333</v>
      </c>
    </row>
    <row r="22" customFormat="false" ht="15.75" hidden="false" customHeight="false" outlineLevel="0" collapsed="false">
      <c r="A22" s="6" t="n">
        <v>45908</v>
      </c>
      <c r="B22" s="7" t="n">
        <v>0.5</v>
      </c>
      <c r="C22" s="8" t="s">
        <v>9</v>
      </c>
      <c r="D22" s="30" t="n">
        <v>24.3</v>
      </c>
      <c r="E22" s="36" t="n">
        <v>69</v>
      </c>
      <c r="F22" s="33" t="n">
        <v>89.3</v>
      </c>
      <c r="G22" s="33" t="n">
        <v>27.9</v>
      </c>
      <c r="H22" s="34" t="n">
        <f aca="false">3.435*EXP(F22*0.02)</f>
        <v>20.4916385160574</v>
      </c>
    </row>
    <row r="23" customFormat="false" ht="15.75" hidden="false" customHeight="false" outlineLevel="0" collapsed="false">
      <c r="A23" s="6" t="n">
        <v>45908</v>
      </c>
      <c r="B23" s="7" t="n">
        <v>0.583333333333333</v>
      </c>
      <c r="C23" s="8" t="s">
        <v>10</v>
      </c>
      <c r="D23" s="33" t="n">
        <v>25.8</v>
      </c>
      <c r="E23" s="36" t="n">
        <v>67</v>
      </c>
      <c r="F23" s="33" t="n">
        <v>97.5</v>
      </c>
      <c r="G23" s="33" t="n">
        <v>26.7</v>
      </c>
      <c r="H23" s="34" t="n">
        <f aca="false">3.435*EXP(F23*0.02)</f>
        <v>24.1435418393242</v>
      </c>
    </row>
    <row r="24" customFormat="false" ht="15.75" hidden="false" customHeight="false" outlineLevel="0" collapsed="false">
      <c r="A24" s="6" t="n">
        <v>45908</v>
      </c>
      <c r="B24" s="7" t="n">
        <v>0.583333333333333</v>
      </c>
      <c r="C24" s="8" t="s">
        <v>8</v>
      </c>
      <c r="D24" s="33" t="n">
        <v>25.8</v>
      </c>
      <c r="E24" s="36" t="n">
        <v>67</v>
      </c>
      <c r="F24" s="33" t="n">
        <v>85.6</v>
      </c>
      <c r="G24" s="33" t="n">
        <v>27.8</v>
      </c>
      <c r="H24" s="34" t="n">
        <f aca="false">3.435*EXP(F24*0.02)</f>
        <v>19.0300046502904</v>
      </c>
    </row>
    <row r="25" customFormat="false" ht="15.75" hidden="false" customHeight="false" outlineLevel="0" collapsed="false">
      <c r="A25" s="6" t="n">
        <v>45908</v>
      </c>
      <c r="B25" s="7" t="n">
        <v>0.583333333333333</v>
      </c>
      <c r="C25" s="8" t="s">
        <v>9</v>
      </c>
      <c r="D25" s="33" t="n">
        <v>25.8</v>
      </c>
      <c r="E25" s="36" t="n">
        <v>67</v>
      </c>
      <c r="F25" s="33" t="n">
        <v>82.1</v>
      </c>
      <c r="G25" s="33" t="n">
        <v>30.5</v>
      </c>
      <c r="H25" s="34" t="n">
        <f aca="false">3.435*EXP(F25*0.02)</f>
        <v>17.7434587287122</v>
      </c>
    </row>
    <row r="26" customFormat="false" ht="15.75" hidden="false" customHeight="false" outlineLevel="0" collapsed="false">
      <c r="A26" s="6" t="n">
        <v>45908</v>
      </c>
      <c r="B26" s="7" t="n">
        <v>0.666666666666667</v>
      </c>
      <c r="C26" s="8" t="s">
        <v>10</v>
      </c>
      <c r="D26" s="32" t="n">
        <v>26.4</v>
      </c>
      <c r="E26" s="40" t="n">
        <v>65</v>
      </c>
      <c r="F26" s="33" t="n">
        <v>98.4</v>
      </c>
      <c r="G26" s="33" t="n">
        <v>32.7</v>
      </c>
      <c r="H26" s="34" t="n">
        <f aca="false">3.435*EXP(F26*0.02)</f>
        <v>24.5820604197179</v>
      </c>
    </row>
    <row r="27" customFormat="false" ht="15.75" hidden="false" customHeight="false" outlineLevel="0" collapsed="false">
      <c r="A27" s="6" t="n">
        <v>45908</v>
      </c>
      <c r="B27" s="7" t="n">
        <v>0.666666666666667</v>
      </c>
      <c r="C27" s="8" t="s">
        <v>8</v>
      </c>
      <c r="D27" s="32" t="n">
        <v>26.4</v>
      </c>
      <c r="E27" s="40" t="n">
        <v>65</v>
      </c>
      <c r="F27" s="39" t="n">
        <v>84.7</v>
      </c>
      <c r="G27" s="33" t="n">
        <v>31.6</v>
      </c>
      <c r="H27" s="34" t="n">
        <f aca="false">3.435*EXP(F27*0.02)</f>
        <v>18.6905290131125</v>
      </c>
    </row>
    <row r="28" customFormat="false" ht="15.75" hidden="false" customHeight="false" outlineLevel="0" collapsed="false">
      <c r="A28" s="6" t="n">
        <v>45908</v>
      </c>
      <c r="B28" s="7" t="n">
        <v>0.666666666666667</v>
      </c>
      <c r="C28" s="8" t="s">
        <v>9</v>
      </c>
      <c r="D28" s="32" t="n">
        <v>26.4</v>
      </c>
      <c r="E28" s="40" t="n">
        <v>65</v>
      </c>
      <c r="F28" s="33" t="n">
        <v>83.2</v>
      </c>
      <c r="G28" s="33" t="n">
        <v>28.6</v>
      </c>
      <c r="H28" s="34" t="n">
        <f aca="false">3.435*EXP(F28*0.02)</f>
        <v>18.1381404004338</v>
      </c>
    </row>
    <row r="29" customFormat="false" ht="15.75" hidden="false" customHeight="false" outlineLevel="0" collapsed="false">
      <c r="A29" s="6" t="n">
        <v>45908</v>
      </c>
      <c r="B29" s="7" t="n">
        <v>0.75</v>
      </c>
      <c r="C29" s="8" t="s">
        <v>10</v>
      </c>
      <c r="D29" s="38" t="n">
        <v>25.1</v>
      </c>
      <c r="E29" s="40" t="n">
        <v>66</v>
      </c>
      <c r="F29" s="33" t="n">
        <v>97.1</v>
      </c>
      <c r="G29" s="33" t="n">
        <v>31.8</v>
      </c>
      <c r="H29" s="34" t="n">
        <f aca="false">3.435*EXP(F29*0.02)</f>
        <v>23.9511640418135</v>
      </c>
    </row>
    <row r="30" customFormat="false" ht="15.75" hidden="false" customHeight="false" outlineLevel="0" collapsed="false">
      <c r="A30" s="6" t="n">
        <v>45908</v>
      </c>
      <c r="B30" s="7" t="n">
        <v>0.75</v>
      </c>
      <c r="C30" s="8" t="s">
        <v>8</v>
      </c>
      <c r="D30" s="38" t="n">
        <v>25.1</v>
      </c>
      <c r="E30" s="40" t="n">
        <v>66</v>
      </c>
      <c r="F30" s="33" t="n">
        <v>83.3</v>
      </c>
      <c r="G30" s="33" t="n">
        <v>30.6</v>
      </c>
      <c r="H30" s="34" t="n">
        <f aca="false">3.435*EXP(F30*0.02)</f>
        <v>18.1744529817118</v>
      </c>
    </row>
    <row r="31" customFormat="false" ht="15.75" hidden="false" customHeight="false" outlineLevel="0" collapsed="false">
      <c r="A31" s="6" t="n">
        <v>45908</v>
      </c>
      <c r="B31" s="7" t="n">
        <v>0.75</v>
      </c>
      <c r="C31" s="8" t="s">
        <v>9</v>
      </c>
      <c r="D31" s="38" t="n">
        <v>25.1</v>
      </c>
      <c r="E31" s="40" t="n">
        <v>66</v>
      </c>
      <c r="F31" s="38" t="n">
        <v>82.9</v>
      </c>
      <c r="G31" s="33" t="n">
        <v>32.5</v>
      </c>
      <c r="H31" s="34" t="n">
        <f aca="false">3.435*EXP(F31*0.02)</f>
        <v>18.0296373925636</v>
      </c>
    </row>
    <row r="32" customFormat="false" ht="15.75" hidden="false" customHeight="false" outlineLevel="0" collapsed="false">
      <c r="A32" s="17" t="n">
        <v>45909</v>
      </c>
      <c r="B32" s="7" t="n">
        <v>0.333333333333333</v>
      </c>
      <c r="C32" s="8" t="s">
        <v>10</v>
      </c>
      <c r="D32" s="33" t="n">
        <v>23.5</v>
      </c>
      <c r="E32" s="36" t="n">
        <v>71</v>
      </c>
      <c r="F32" s="38" t="n">
        <v>96.1</v>
      </c>
      <c r="G32" s="33" t="n">
        <v>23.9</v>
      </c>
      <c r="H32" s="34" t="n">
        <f aca="false">3.435*EXP(F32*0.02)</f>
        <v>23.4768992179381</v>
      </c>
    </row>
    <row r="33" customFormat="false" ht="15.75" hidden="false" customHeight="false" outlineLevel="0" collapsed="false">
      <c r="A33" s="17" t="n">
        <v>45909</v>
      </c>
      <c r="B33" s="7" t="n">
        <v>0.333333333333333</v>
      </c>
      <c r="C33" s="8" t="s">
        <v>8</v>
      </c>
      <c r="D33" s="33" t="n">
        <v>23.5</v>
      </c>
      <c r="E33" s="36" t="n">
        <v>71</v>
      </c>
      <c r="F33" s="38" t="n">
        <v>86.9</v>
      </c>
      <c r="G33" s="38" t="n">
        <v>21.6</v>
      </c>
      <c r="H33" s="34" t="n">
        <f aca="false">3.435*EXP(F33*0.02)</f>
        <v>19.5312730222331</v>
      </c>
    </row>
    <row r="34" customFormat="false" ht="15.75" hidden="false" customHeight="false" outlineLevel="0" collapsed="false">
      <c r="A34" s="17" t="n">
        <v>45909</v>
      </c>
      <c r="B34" s="7" t="n">
        <v>0.333333333333333</v>
      </c>
      <c r="C34" s="8" t="s">
        <v>9</v>
      </c>
      <c r="D34" s="33" t="n">
        <v>23.5</v>
      </c>
      <c r="E34" s="36" t="n">
        <v>71</v>
      </c>
      <c r="F34" s="38" t="n">
        <v>84.6</v>
      </c>
      <c r="G34" s="38" t="n">
        <v>21.6</v>
      </c>
      <c r="H34" s="34" t="n">
        <f aca="false">3.435*EXP(F34*0.02)</f>
        <v>18.653185311236</v>
      </c>
    </row>
    <row r="35" customFormat="false" ht="15.75" hidden="false" customHeight="false" outlineLevel="0" collapsed="false">
      <c r="A35" s="17" t="n">
        <v>45909</v>
      </c>
      <c r="B35" s="7" t="n">
        <v>0.416666666666667</v>
      </c>
      <c r="C35" s="8" t="s">
        <v>10</v>
      </c>
      <c r="D35" s="33" t="n">
        <v>24.2</v>
      </c>
      <c r="E35" s="36" t="n">
        <v>69</v>
      </c>
      <c r="F35" s="39" t="n">
        <v>94.2</v>
      </c>
      <c r="G35" s="41" t="n">
        <v>27.6</v>
      </c>
      <c r="H35" s="34" t="n">
        <f aca="false">3.435*EXP(F35*0.02)</f>
        <v>22.6015146891074</v>
      </c>
    </row>
    <row r="36" customFormat="false" ht="15.75" hidden="false" customHeight="false" outlineLevel="0" collapsed="false">
      <c r="A36" s="17" t="n">
        <v>45909</v>
      </c>
      <c r="B36" s="7" t="n">
        <v>0.416666666666667</v>
      </c>
      <c r="C36" s="8" t="s">
        <v>8</v>
      </c>
      <c r="D36" s="33" t="n">
        <v>24.2</v>
      </c>
      <c r="E36" s="36" t="n">
        <v>69</v>
      </c>
      <c r="F36" s="39" t="n">
        <v>82.1</v>
      </c>
      <c r="G36" s="41" t="n">
        <v>28.7</v>
      </c>
      <c r="H36" s="34" t="n">
        <f aca="false">3.435*EXP(F36*0.02)</f>
        <v>17.7434587287122</v>
      </c>
    </row>
    <row r="37" customFormat="false" ht="15.75" hidden="false" customHeight="false" outlineLevel="0" collapsed="false">
      <c r="A37" s="17" t="n">
        <v>45909</v>
      </c>
      <c r="B37" s="7" t="n">
        <v>0.416666666666667</v>
      </c>
      <c r="C37" s="8" t="s">
        <v>9</v>
      </c>
      <c r="D37" s="33" t="n">
        <v>24.2</v>
      </c>
      <c r="E37" s="36" t="n">
        <v>69</v>
      </c>
      <c r="F37" s="39" t="n">
        <v>79.6</v>
      </c>
      <c r="G37" s="41" t="n">
        <v>28.4</v>
      </c>
      <c r="H37" s="34" t="n">
        <f aca="false">3.435*EXP(F37*0.02)</f>
        <v>16.8781000351651</v>
      </c>
    </row>
    <row r="38" customFormat="false" ht="15.75" hidden="false" customHeight="false" outlineLevel="0" collapsed="false">
      <c r="A38" s="17" t="n">
        <v>45909</v>
      </c>
      <c r="B38" s="7" t="n">
        <v>0.5</v>
      </c>
      <c r="C38" s="8" t="s">
        <v>10</v>
      </c>
      <c r="D38" s="33" t="n">
        <v>22.9</v>
      </c>
      <c r="E38" s="42" t="n">
        <v>65</v>
      </c>
      <c r="F38" s="33" t="n">
        <v>92.1</v>
      </c>
      <c r="G38" s="38" t="n">
        <v>29.9</v>
      </c>
      <c r="H38" s="34" t="n">
        <f aca="false">3.435*EXP(F38*0.02)</f>
        <v>21.6719094305502</v>
      </c>
    </row>
    <row r="39" customFormat="false" ht="15.75" hidden="false" customHeight="false" outlineLevel="0" collapsed="false">
      <c r="A39" s="17" t="n">
        <v>45909</v>
      </c>
      <c r="B39" s="7" t="n">
        <v>0.5</v>
      </c>
      <c r="C39" s="8" t="s">
        <v>8</v>
      </c>
      <c r="D39" s="33" t="n">
        <v>22.9</v>
      </c>
      <c r="E39" s="42" t="n">
        <v>65</v>
      </c>
      <c r="F39" s="33" t="n">
        <v>79.5</v>
      </c>
      <c r="G39" s="38" t="n">
        <v>28.5</v>
      </c>
      <c r="H39" s="34" t="n">
        <f aca="false">3.435*EXP(F39*0.02)</f>
        <v>16.844377568802</v>
      </c>
    </row>
    <row r="40" customFormat="false" ht="15.75" hidden="false" customHeight="false" outlineLevel="0" collapsed="false">
      <c r="A40" s="17" t="n">
        <v>45909</v>
      </c>
      <c r="B40" s="7" t="n">
        <v>0.5</v>
      </c>
      <c r="C40" s="8" t="s">
        <v>9</v>
      </c>
      <c r="D40" s="33" t="n">
        <v>22.9</v>
      </c>
      <c r="E40" s="42" t="n">
        <v>65</v>
      </c>
      <c r="F40" s="33" t="n">
        <v>78.6</v>
      </c>
      <c r="G40" s="38" t="n">
        <v>28.5</v>
      </c>
      <c r="H40" s="34" t="n">
        <f aca="false">3.435*EXP(F40*0.02)</f>
        <v>16.5438912624075</v>
      </c>
    </row>
    <row r="41" customFormat="false" ht="15.75" hidden="false" customHeight="false" outlineLevel="0" collapsed="false">
      <c r="A41" s="17" t="n">
        <v>45909</v>
      </c>
      <c r="B41" s="7" t="n">
        <v>0.583333333333333</v>
      </c>
      <c r="C41" s="8" t="s">
        <v>10</v>
      </c>
      <c r="D41" s="43" t="n">
        <v>26.1</v>
      </c>
      <c r="E41" s="44" t="n">
        <v>63</v>
      </c>
      <c r="F41" s="38" t="n">
        <v>91.5</v>
      </c>
      <c r="G41" s="38" t="n">
        <v>28.4</v>
      </c>
      <c r="H41" s="34" t="n">
        <f aca="false">3.435*EXP(F41*0.02)</f>
        <v>21.4134006720324</v>
      </c>
    </row>
    <row r="42" customFormat="false" ht="15.75" hidden="false" customHeight="false" outlineLevel="0" collapsed="false">
      <c r="A42" s="17" t="n">
        <v>45909</v>
      </c>
      <c r="B42" s="7" t="n">
        <v>0.583333333333333</v>
      </c>
      <c r="C42" s="8" t="s">
        <v>8</v>
      </c>
      <c r="D42" s="43" t="n">
        <v>26.1</v>
      </c>
      <c r="E42" s="44" t="n">
        <v>63</v>
      </c>
      <c r="F42" s="38" t="n">
        <v>78.9</v>
      </c>
      <c r="G42" s="38" t="n">
        <v>30.3</v>
      </c>
      <c r="H42" s="34" t="n">
        <f aca="false">3.435*EXP(F42*0.02)</f>
        <v>16.6434529964992</v>
      </c>
    </row>
    <row r="43" customFormat="false" ht="15.75" hidden="false" customHeight="false" outlineLevel="0" collapsed="false">
      <c r="A43" s="17" t="n">
        <v>45909</v>
      </c>
      <c r="B43" s="7" t="n">
        <v>0.583333333333333</v>
      </c>
      <c r="C43" s="8" t="s">
        <v>9</v>
      </c>
      <c r="D43" s="43" t="n">
        <v>26.1</v>
      </c>
      <c r="E43" s="44" t="n">
        <v>63</v>
      </c>
      <c r="F43" s="38" t="n">
        <v>76.9</v>
      </c>
      <c r="G43" s="38" t="n">
        <v>31.6</v>
      </c>
      <c r="H43" s="34" t="n">
        <f aca="false">3.435*EXP(F43*0.02)</f>
        <v>15.9908538700645</v>
      </c>
    </row>
    <row r="44" customFormat="false" ht="15.75" hidden="false" customHeight="false" outlineLevel="0" collapsed="false">
      <c r="A44" s="17" t="n">
        <v>45909</v>
      </c>
      <c r="B44" s="7" t="n">
        <v>0.666666666666667</v>
      </c>
      <c r="C44" s="8" t="s">
        <v>10</v>
      </c>
      <c r="D44" s="33" t="n">
        <v>28.1</v>
      </c>
      <c r="E44" s="36" t="n">
        <v>62</v>
      </c>
      <c r="F44" s="38" t="n">
        <v>93.6</v>
      </c>
      <c r="G44" s="38" t="n">
        <v>34.6</v>
      </c>
      <c r="H44" s="34" t="n">
        <f aca="false">3.435*EXP(F44*0.02)</f>
        <v>22.3319173321405</v>
      </c>
    </row>
    <row r="45" customFormat="false" ht="15.75" hidden="false" customHeight="false" outlineLevel="0" collapsed="false">
      <c r="A45" s="17" t="n">
        <v>45909</v>
      </c>
      <c r="B45" s="7" t="n">
        <v>0.666666666666667</v>
      </c>
      <c r="C45" s="8" t="s">
        <v>8</v>
      </c>
      <c r="D45" s="33" t="n">
        <v>28.1</v>
      </c>
      <c r="E45" s="36" t="n">
        <v>62</v>
      </c>
      <c r="F45" s="38" t="n">
        <v>78.1</v>
      </c>
      <c r="G45" s="38" t="n">
        <v>32.7</v>
      </c>
      <c r="H45" s="34" t="n">
        <f aca="false">3.435*EXP(F45*0.02)</f>
        <v>16.3792767939109</v>
      </c>
    </row>
    <row r="46" customFormat="false" ht="15.75" hidden="false" customHeight="false" outlineLevel="0" collapsed="false">
      <c r="A46" s="17" t="n">
        <v>45909</v>
      </c>
      <c r="B46" s="7" t="n">
        <v>0.666666666666667</v>
      </c>
      <c r="C46" s="8" t="s">
        <v>9</v>
      </c>
      <c r="D46" s="33" t="n">
        <v>28.1</v>
      </c>
      <c r="E46" s="36" t="n">
        <v>62</v>
      </c>
      <c r="F46" s="38" t="n">
        <v>75.9</v>
      </c>
      <c r="G46" s="38" t="n">
        <v>31.4</v>
      </c>
      <c r="H46" s="34" t="n">
        <f aca="false">3.435*EXP(F46*0.02)</f>
        <v>15.6742137484795</v>
      </c>
    </row>
    <row r="47" customFormat="false" ht="15.75" hidden="false" customHeight="false" outlineLevel="0" collapsed="false">
      <c r="A47" s="17" t="n">
        <v>45909</v>
      </c>
      <c r="B47" s="7" t="n">
        <v>0.75</v>
      </c>
      <c r="C47" s="8" t="s">
        <v>10</v>
      </c>
      <c r="D47" s="33" t="n">
        <v>24.4</v>
      </c>
      <c r="E47" s="36" t="n">
        <v>68</v>
      </c>
      <c r="F47" s="38" t="n">
        <v>89.6</v>
      </c>
      <c r="G47" s="38" t="n">
        <v>32.8</v>
      </c>
      <c r="H47" s="34" t="n">
        <f aca="false">3.435*EXP(F47*0.02)</f>
        <v>20.6149579354539</v>
      </c>
    </row>
    <row r="48" customFormat="false" ht="15.75" hidden="false" customHeight="false" outlineLevel="0" collapsed="false">
      <c r="A48" s="17" t="n">
        <v>45909</v>
      </c>
      <c r="B48" s="7" t="n">
        <v>0.75</v>
      </c>
      <c r="C48" s="8" t="s">
        <v>8</v>
      </c>
      <c r="D48" s="33" t="n">
        <v>24.4</v>
      </c>
      <c r="E48" s="36" t="n">
        <v>68</v>
      </c>
      <c r="F48" s="38" t="n">
        <v>74.2</v>
      </c>
      <c r="G48" s="38" t="n">
        <v>33.1</v>
      </c>
      <c r="H48" s="34" t="n">
        <f aca="false">3.435*EXP(F48*0.02)</f>
        <v>15.1502483668777</v>
      </c>
    </row>
    <row r="49" customFormat="false" ht="15.75" hidden="false" customHeight="false" outlineLevel="0" collapsed="false">
      <c r="A49" s="17" t="n">
        <v>45909</v>
      </c>
      <c r="B49" s="7" t="n">
        <v>0.75</v>
      </c>
      <c r="C49" s="8" t="s">
        <v>9</v>
      </c>
      <c r="D49" s="33" t="n">
        <v>24.4</v>
      </c>
      <c r="E49" s="36" t="n">
        <v>68</v>
      </c>
      <c r="F49" s="38" t="n">
        <v>72.1</v>
      </c>
      <c r="G49" s="38" t="n">
        <v>31.9</v>
      </c>
      <c r="H49" s="34" t="n">
        <f aca="false">3.435*EXP(F49*0.02)</f>
        <v>14.5271153271666</v>
      </c>
    </row>
    <row r="50" customFormat="false" ht="15.75" hidden="false" customHeight="false" outlineLevel="0" collapsed="false">
      <c r="A50" s="17" t="n">
        <v>45910</v>
      </c>
      <c r="B50" s="7" t="n">
        <v>0.333333333333333</v>
      </c>
      <c r="C50" s="8" t="s">
        <v>10</v>
      </c>
      <c r="D50" s="38" t="n">
        <v>22.7</v>
      </c>
      <c r="E50" s="40" t="n">
        <v>76</v>
      </c>
      <c r="F50" s="38" t="n">
        <v>89.9</v>
      </c>
      <c r="G50" s="38" t="n">
        <v>22.7</v>
      </c>
      <c r="H50" s="34" t="n">
        <f aca="false">3.435*EXP(F50*0.02)</f>
        <v>20.7390194955625</v>
      </c>
    </row>
    <row r="51" customFormat="false" ht="15.75" hidden="false" customHeight="false" outlineLevel="0" collapsed="false">
      <c r="A51" s="17" t="n">
        <v>45910</v>
      </c>
      <c r="B51" s="7" t="n">
        <v>0.333333333333333</v>
      </c>
      <c r="C51" s="8" t="s">
        <v>8</v>
      </c>
      <c r="D51" s="38" t="n">
        <v>22.7</v>
      </c>
      <c r="E51" s="40" t="n">
        <v>76</v>
      </c>
      <c r="F51" s="38" t="n">
        <v>73.9</v>
      </c>
      <c r="G51" s="38" t="n">
        <v>23.7</v>
      </c>
      <c r="H51" s="34" t="n">
        <f aca="false">3.435*EXP(F51*0.02)</f>
        <v>15.0596190365552</v>
      </c>
    </row>
    <row r="52" customFormat="false" ht="15.75" hidden="false" customHeight="false" outlineLevel="0" collapsed="false">
      <c r="A52" s="17" t="n">
        <v>45910</v>
      </c>
      <c r="B52" s="7" t="n">
        <v>0.333333333333333</v>
      </c>
      <c r="C52" s="8" t="s">
        <v>9</v>
      </c>
      <c r="D52" s="38" t="n">
        <v>22.7</v>
      </c>
      <c r="E52" s="40" t="n">
        <v>76</v>
      </c>
      <c r="F52" s="38" t="n">
        <v>71.5</v>
      </c>
      <c r="G52" s="38" t="n">
        <v>21.7</v>
      </c>
      <c r="H52" s="34" t="n">
        <f aca="false">3.435*EXP(F52*0.02)</f>
        <v>14.3538317242564</v>
      </c>
    </row>
    <row r="53" customFormat="false" ht="15.75" hidden="false" customHeight="false" outlineLevel="0" collapsed="false">
      <c r="A53" s="17" t="n">
        <v>45910</v>
      </c>
      <c r="B53" s="7" t="n">
        <v>0.416666666666667</v>
      </c>
      <c r="C53" s="8" t="s">
        <v>10</v>
      </c>
      <c r="D53" s="33" t="n">
        <v>23.3</v>
      </c>
      <c r="E53" s="36" t="n">
        <v>74</v>
      </c>
      <c r="F53" s="38" t="n">
        <v>88.6</v>
      </c>
      <c r="G53" s="38" t="n">
        <v>23.6</v>
      </c>
      <c r="H53" s="34" t="n">
        <f aca="false">3.435*EXP(F53*0.02)</f>
        <v>20.2067544186065</v>
      </c>
    </row>
    <row r="54" customFormat="false" ht="15.75" hidden="false" customHeight="false" outlineLevel="0" collapsed="false">
      <c r="A54" s="17" t="n">
        <v>45910</v>
      </c>
      <c r="B54" s="7" t="n">
        <v>0.416666666666667</v>
      </c>
      <c r="C54" s="8" t="s">
        <v>8</v>
      </c>
      <c r="D54" s="38" t="n">
        <v>22.7</v>
      </c>
      <c r="E54" s="40" t="n">
        <v>76</v>
      </c>
      <c r="F54" s="38" t="n">
        <v>73.8</v>
      </c>
      <c r="G54" s="38" t="n">
        <v>25.7</v>
      </c>
      <c r="H54" s="34" t="n">
        <f aca="false">3.435*EXP(F54*0.02)</f>
        <v>15.0295298976507</v>
      </c>
    </row>
    <row r="55" customFormat="false" ht="15.75" hidden="false" customHeight="false" outlineLevel="0" collapsed="false">
      <c r="A55" s="17" t="n">
        <v>45910</v>
      </c>
      <c r="B55" s="7" t="n">
        <v>0.416666666666667</v>
      </c>
      <c r="C55" s="8" t="s">
        <v>9</v>
      </c>
      <c r="D55" s="38" t="n">
        <v>22.7</v>
      </c>
      <c r="E55" s="40" t="n">
        <v>76</v>
      </c>
      <c r="F55" s="38" t="n">
        <v>71.8</v>
      </c>
      <c r="G55" s="38" t="n">
        <v>24.8</v>
      </c>
      <c r="H55" s="34" t="n">
        <f aca="false">3.435*EXP(F55*0.02)</f>
        <v>14.4402136010869</v>
      </c>
    </row>
    <row r="56" customFormat="false" ht="15.75" hidden="false" customHeight="false" outlineLevel="0" collapsed="false">
      <c r="A56" s="17" t="n">
        <v>45910</v>
      </c>
      <c r="B56" s="7" t="n">
        <v>0.5</v>
      </c>
      <c r="C56" s="8" t="s">
        <v>10</v>
      </c>
      <c r="D56" s="33" t="n">
        <v>26.3</v>
      </c>
      <c r="E56" s="36" t="n">
        <v>69</v>
      </c>
      <c r="F56" s="33" t="n">
        <v>88.6</v>
      </c>
      <c r="G56" s="38" t="n">
        <v>25.6</v>
      </c>
      <c r="H56" s="34" t="n">
        <f aca="false">3.435*EXP(F56*0.02)</f>
        <v>20.2067544186065</v>
      </c>
    </row>
    <row r="57" customFormat="false" ht="15.75" hidden="false" customHeight="false" outlineLevel="0" collapsed="false">
      <c r="A57" s="17" t="n">
        <v>45910</v>
      </c>
      <c r="B57" s="7" t="n">
        <v>0.5</v>
      </c>
      <c r="C57" s="8" t="s">
        <v>8</v>
      </c>
      <c r="D57" s="33" t="n">
        <v>26.3</v>
      </c>
      <c r="E57" s="36" t="n">
        <v>69</v>
      </c>
      <c r="F57" s="33" t="n">
        <v>72.6</v>
      </c>
      <c r="G57" s="38" t="n">
        <v>28.1</v>
      </c>
      <c r="H57" s="34" t="n">
        <f aca="false">3.435*EXP(F57*0.02)</f>
        <v>14.6731152634556</v>
      </c>
    </row>
    <row r="58" customFormat="false" ht="15.75" hidden="false" customHeight="false" outlineLevel="0" collapsed="false">
      <c r="A58" s="17" t="n">
        <v>45910</v>
      </c>
      <c r="B58" s="7" t="n">
        <v>0.5</v>
      </c>
      <c r="C58" s="8" t="s">
        <v>9</v>
      </c>
      <c r="D58" s="33" t="n">
        <v>26.3</v>
      </c>
      <c r="E58" s="36" t="n">
        <v>69</v>
      </c>
      <c r="F58" s="33" t="n">
        <v>71.4</v>
      </c>
      <c r="G58" s="38" t="n">
        <v>30.1</v>
      </c>
      <c r="H58" s="34" t="n">
        <f aca="false">3.435*EXP(F58*0.02)</f>
        <v>14.3251527493424</v>
      </c>
    </row>
    <row r="59" customFormat="false" ht="15.75" hidden="false" customHeight="false" outlineLevel="0" collapsed="false">
      <c r="A59" s="17" t="n">
        <v>45910</v>
      </c>
      <c r="B59" s="7" t="n">
        <v>0.583333333333333</v>
      </c>
      <c r="C59" s="8" t="s">
        <v>10</v>
      </c>
      <c r="D59" s="33" t="n">
        <v>28.9</v>
      </c>
      <c r="E59" s="36" t="n">
        <v>67</v>
      </c>
      <c r="F59" s="38" t="n">
        <v>85.1</v>
      </c>
      <c r="G59" s="38" t="n">
        <v>31.3</v>
      </c>
      <c r="H59" s="34" t="n">
        <f aca="false">3.435*EXP(F59*0.02)</f>
        <v>18.8406529402659</v>
      </c>
    </row>
    <row r="60" customFormat="false" ht="15.75" hidden="false" customHeight="false" outlineLevel="0" collapsed="false">
      <c r="A60" s="17" t="n">
        <v>45910</v>
      </c>
      <c r="B60" s="7" t="n">
        <v>0.583333333333333</v>
      </c>
      <c r="C60" s="8" t="s">
        <v>8</v>
      </c>
      <c r="D60" s="33" t="n">
        <v>28.9</v>
      </c>
      <c r="E60" s="36" t="n">
        <v>67</v>
      </c>
      <c r="F60" s="38" t="n">
        <v>71.3</v>
      </c>
      <c r="G60" s="38" t="n">
        <v>29.6</v>
      </c>
      <c r="H60" s="34" t="n">
        <f aca="false">3.435*EXP(F60*0.02)</f>
        <v>14.2965310750586</v>
      </c>
    </row>
    <row r="61" customFormat="false" ht="15.75" hidden="false" customHeight="false" outlineLevel="0" collapsed="false">
      <c r="A61" s="17" t="n">
        <v>45910</v>
      </c>
      <c r="B61" s="7" t="n">
        <v>0.583333333333333</v>
      </c>
      <c r="C61" s="8" t="s">
        <v>9</v>
      </c>
      <c r="D61" s="33" t="n">
        <v>28.9</v>
      </c>
      <c r="E61" s="36" t="n">
        <v>67</v>
      </c>
      <c r="F61" s="38" t="n">
        <v>70.6</v>
      </c>
      <c r="G61" s="38" t="n">
        <v>31.9</v>
      </c>
      <c r="H61" s="34" t="n">
        <f aca="false">3.435*EXP(F61*0.02)</f>
        <v>14.0977741845929</v>
      </c>
    </row>
    <row r="62" customFormat="false" ht="15.75" hidden="false" customHeight="false" outlineLevel="0" collapsed="false">
      <c r="A62" s="17" t="n">
        <v>45910</v>
      </c>
      <c r="B62" s="7" t="n">
        <v>0.666666666666667</v>
      </c>
      <c r="C62" s="8" t="s">
        <v>10</v>
      </c>
      <c r="D62" s="33" t="n">
        <v>27.8</v>
      </c>
      <c r="E62" s="36" t="n">
        <v>70</v>
      </c>
      <c r="F62" s="38" t="n">
        <v>84.2</v>
      </c>
      <c r="G62" s="38" t="n">
        <v>32.8</v>
      </c>
      <c r="H62" s="34" t="n">
        <f aca="false">3.435*EXP(F62*0.02)</f>
        <v>18.504555142116</v>
      </c>
    </row>
    <row r="63" customFormat="false" ht="15.75" hidden="false" customHeight="false" outlineLevel="0" collapsed="false">
      <c r="A63" s="17" t="n">
        <v>45910</v>
      </c>
      <c r="B63" s="7" t="n">
        <v>0.666666666666667</v>
      </c>
      <c r="C63" s="8" t="s">
        <v>8</v>
      </c>
      <c r="D63" s="33" t="n">
        <v>27.8</v>
      </c>
      <c r="E63" s="36" t="n">
        <v>70</v>
      </c>
      <c r="F63" s="38" t="n">
        <v>79.3</v>
      </c>
      <c r="G63" s="38" t="n">
        <v>31.9</v>
      </c>
      <c r="H63" s="34" t="n">
        <f aca="false">3.435*EXP(F63*0.02)</f>
        <v>16.7771346340535</v>
      </c>
    </row>
    <row r="64" customFormat="false" ht="15.75" hidden="false" customHeight="false" outlineLevel="0" collapsed="false">
      <c r="A64" s="17" t="n">
        <v>45910</v>
      </c>
      <c r="B64" s="7" t="n">
        <v>0.666666666666667</v>
      </c>
      <c r="C64" s="8" t="s">
        <v>9</v>
      </c>
      <c r="D64" s="33" t="n">
        <v>27.8</v>
      </c>
      <c r="E64" s="36" t="n">
        <v>70</v>
      </c>
      <c r="F64" s="38" t="n">
        <v>76.5</v>
      </c>
      <c r="G64" s="38" t="n">
        <v>33.9</v>
      </c>
      <c r="H64" s="34" t="n">
        <f aca="false">3.435*EXP(F64*0.02)</f>
        <v>15.8634373845997</v>
      </c>
    </row>
    <row r="65" customFormat="false" ht="15.75" hidden="false" customHeight="false" outlineLevel="0" collapsed="false">
      <c r="A65" s="17" t="n">
        <v>45910</v>
      </c>
      <c r="B65" s="7" t="n">
        <v>0.75</v>
      </c>
      <c r="C65" s="8" t="s">
        <v>10</v>
      </c>
      <c r="D65" s="38" t="n">
        <v>25.2</v>
      </c>
      <c r="E65" s="40" t="n">
        <v>66</v>
      </c>
      <c r="F65" s="33" t="n">
        <v>83.9</v>
      </c>
      <c r="G65" s="33" t="n">
        <v>32.8</v>
      </c>
      <c r="H65" s="34" t="n">
        <f aca="false">3.435*EXP(F65*0.02)</f>
        <v>18.3938602280899</v>
      </c>
    </row>
    <row r="66" customFormat="false" ht="15.75" hidden="false" customHeight="false" outlineLevel="0" collapsed="false">
      <c r="A66" s="17" t="n">
        <v>45910</v>
      </c>
      <c r="B66" s="7" t="n">
        <v>0.75</v>
      </c>
      <c r="C66" s="8" t="s">
        <v>8</v>
      </c>
      <c r="D66" s="38" t="n">
        <v>25.2</v>
      </c>
      <c r="E66" s="40" t="n">
        <v>66</v>
      </c>
      <c r="F66" s="33" t="n">
        <v>76.4</v>
      </c>
      <c r="G66" s="33" t="n">
        <v>33.4</v>
      </c>
      <c r="H66" s="34" t="n">
        <f aca="false">3.435*EXP(F66*0.02)</f>
        <v>15.8317422155646</v>
      </c>
    </row>
    <row r="67" customFormat="false" ht="15.75" hidden="false" customHeight="false" outlineLevel="0" collapsed="false">
      <c r="A67" s="17" t="n">
        <v>45910</v>
      </c>
      <c r="B67" s="7" t="n">
        <v>0.75</v>
      </c>
      <c r="C67" s="8" t="s">
        <v>9</v>
      </c>
      <c r="D67" s="38" t="n">
        <v>25.2</v>
      </c>
      <c r="E67" s="40" t="n">
        <v>66</v>
      </c>
      <c r="F67" s="33" t="n">
        <v>75.5</v>
      </c>
      <c r="G67" s="33" t="n">
        <v>32.6</v>
      </c>
      <c r="H67" s="34" t="n">
        <f aca="false">3.435*EXP(F67*0.02)</f>
        <v>15.5493202784695</v>
      </c>
    </row>
    <row r="68" customFormat="false" ht="15.75" hidden="false" customHeight="false" outlineLevel="0" collapsed="false">
      <c r="A68" s="17" t="n">
        <v>45911</v>
      </c>
      <c r="B68" s="7" t="n">
        <v>0.333333333333333</v>
      </c>
      <c r="C68" s="23" t="s">
        <v>10</v>
      </c>
      <c r="D68" s="45" t="n">
        <v>20.1</v>
      </c>
      <c r="E68" s="46" t="n">
        <v>69</v>
      </c>
      <c r="F68" s="33" t="n">
        <v>82.1</v>
      </c>
      <c r="G68" s="33" t="n">
        <v>20.9</v>
      </c>
      <c r="H68" s="34" t="n">
        <f aca="false">3.435*EXP(F68*0.02)</f>
        <v>17.7434587287122</v>
      </c>
    </row>
    <row r="69" customFormat="false" ht="15.75" hidden="false" customHeight="false" outlineLevel="0" collapsed="false">
      <c r="A69" s="17" t="n">
        <v>45911</v>
      </c>
      <c r="B69" s="7" t="n">
        <v>0.333333333333333</v>
      </c>
      <c r="C69" s="23" t="s">
        <v>8</v>
      </c>
      <c r="D69" s="45" t="n">
        <v>20.1</v>
      </c>
      <c r="E69" s="46" t="n">
        <v>69</v>
      </c>
      <c r="F69" s="33" t="n">
        <v>73.2</v>
      </c>
      <c r="G69" s="33" t="n">
        <v>22.9</v>
      </c>
      <c r="H69" s="34" t="n">
        <f aca="false">3.435*EXP(F69*0.02)</f>
        <v>14.8502533494813</v>
      </c>
    </row>
    <row r="70" customFormat="false" ht="15.75" hidden="false" customHeight="false" outlineLevel="0" collapsed="false">
      <c r="A70" s="17" t="n">
        <v>45911</v>
      </c>
      <c r="B70" s="7" t="n">
        <v>0.333333333333333</v>
      </c>
      <c r="C70" s="23" t="s">
        <v>9</v>
      </c>
      <c r="D70" s="45" t="n">
        <v>20.1</v>
      </c>
      <c r="E70" s="46" t="n">
        <v>69</v>
      </c>
      <c r="F70" s="33" t="n">
        <v>72.5</v>
      </c>
      <c r="G70" s="33" t="n">
        <v>23.1</v>
      </c>
      <c r="H70" s="34" t="n">
        <f aca="false">3.435*EXP(F70*0.02)</f>
        <v>14.6437983596049</v>
      </c>
    </row>
    <row r="71" customFormat="false" ht="15.75" hidden="false" customHeight="false" outlineLevel="0" collapsed="false">
      <c r="A71" s="17" t="n">
        <v>45911</v>
      </c>
      <c r="B71" s="7" t="n">
        <v>0.416666666666667</v>
      </c>
      <c r="C71" s="23" t="s">
        <v>10</v>
      </c>
      <c r="D71" s="38" t="n">
        <v>22.6</v>
      </c>
      <c r="E71" s="40" t="n">
        <v>69</v>
      </c>
      <c r="F71" s="33" t="n">
        <v>81.9</v>
      </c>
      <c r="G71" s="33" t="n">
        <v>25.7</v>
      </c>
      <c r="H71" s="34" t="n">
        <f aca="false">3.435*EXP(F71*0.02)</f>
        <v>17.6726266523928</v>
      </c>
    </row>
    <row r="72" customFormat="false" ht="15.75" hidden="false" customHeight="false" outlineLevel="0" collapsed="false">
      <c r="A72" s="17" t="n">
        <v>45911</v>
      </c>
      <c r="B72" s="7" t="n">
        <v>0.416666666666667</v>
      </c>
      <c r="C72" s="23" t="s">
        <v>8</v>
      </c>
      <c r="D72" s="38" t="n">
        <v>22.6</v>
      </c>
      <c r="E72" s="40" t="n">
        <v>69</v>
      </c>
      <c r="F72" s="33" t="n">
        <v>71.2</v>
      </c>
      <c r="G72" s="33" t="n">
        <v>24.7</v>
      </c>
      <c r="H72" s="34" t="n">
        <f aca="false">3.435*EXP(F72*0.02)</f>
        <v>14.2679665869181</v>
      </c>
    </row>
    <row r="73" customFormat="false" ht="15.75" hidden="false" customHeight="false" outlineLevel="0" collapsed="false">
      <c r="A73" s="17" t="n">
        <v>45911</v>
      </c>
      <c r="B73" s="7" t="n">
        <v>0.416666666666667</v>
      </c>
      <c r="C73" s="23" t="s">
        <v>9</v>
      </c>
      <c r="D73" s="38" t="n">
        <v>22.6</v>
      </c>
      <c r="E73" s="40" t="n">
        <v>69</v>
      </c>
      <c r="F73" s="33" t="n">
        <v>70.5</v>
      </c>
      <c r="G73" s="33" t="n">
        <v>25.8</v>
      </c>
      <c r="H73" s="34" t="n">
        <f aca="false">3.435*EXP(F73*0.02)</f>
        <v>14.0696068129845</v>
      </c>
    </row>
    <row r="74" customFormat="false" ht="15.75" hidden="false" customHeight="false" outlineLevel="0" collapsed="false">
      <c r="A74" s="17" t="n">
        <v>45911</v>
      </c>
      <c r="B74" s="7" t="n">
        <v>0.5</v>
      </c>
      <c r="C74" s="23" t="s">
        <v>10</v>
      </c>
      <c r="D74" s="38" t="n">
        <v>25.9</v>
      </c>
      <c r="E74" s="40" t="n">
        <v>66</v>
      </c>
      <c r="F74" s="47" t="n">
        <v>80.3</v>
      </c>
      <c r="G74" s="39" t="n">
        <v>28.2</v>
      </c>
      <c r="H74" s="34" t="n">
        <f aca="false">3.435*EXP(F74*0.02)</f>
        <v>17.1160552354706</v>
      </c>
    </row>
    <row r="75" customFormat="false" ht="15.75" hidden="false" customHeight="false" outlineLevel="0" collapsed="false">
      <c r="A75" s="17" t="n">
        <v>45911</v>
      </c>
      <c r="B75" s="7" t="n">
        <v>0.5</v>
      </c>
      <c r="C75" s="23" t="s">
        <v>8</v>
      </c>
      <c r="D75" s="38" t="n">
        <v>25.9</v>
      </c>
      <c r="E75" s="40" t="n">
        <v>66</v>
      </c>
      <c r="F75" s="36" t="n">
        <v>70.1</v>
      </c>
      <c r="G75" s="33" t="n">
        <v>29.7</v>
      </c>
      <c r="H75" s="34" t="n">
        <f aca="false">3.435*EXP(F75*0.02)</f>
        <v>13.9574989876896</v>
      </c>
    </row>
    <row r="76" customFormat="false" ht="15.75" hidden="false" customHeight="false" outlineLevel="0" collapsed="false">
      <c r="A76" s="17" t="n">
        <v>45911</v>
      </c>
      <c r="B76" s="7" t="n">
        <v>0.5</v>
      </c>
      <c r="C76" s="23" t="s">
        <v>9</v>
      </c>
      <c r="D76" s="38" t="n">
        <v>25.9</v>
      </c>
      <c r="E76" s="40" t="n">
        <v>66</v>
      </c>
      <c r="F76" s="36" t="n">
        <v>69.9</v>
      </c>
      <c r="G76" s="33" t="n">
        <v>29.5</v>
      </c>
      <c r="H76" s="34" t="n">
        <f aca="false">3.435*EXP(F76*0.02)</f>
        <v>13.9017805029995</v>
      </c>
    </row>
    <row r="77" customFormat="false" ht="15.75" hidden="false" customHeight="false" outlineLevel="0" collapsed="false">
      <c r="A77" s="17" t="n">
        <v>45911</v>
      </c>
      <c r="B77" s="7" t="n">
        <v>0.583333333333333</v>
      </c>
      <c r="C77" s="23" t="s">
        <v>10</v>
      </c>
      <c r="D77" s="38" t="n">
        <v>29.1</v>
      </c>
      <c r="E77" s="40" t="n">
        <v>65</v>
      </c>
      <c r="F77" s="36" t="n">
        <v>80.2</v>
      </c>
      <c r="G77" s="33" t="n">
        <v>30.1</v>
      </c>
      <c r="H77" s="34" t="n">
        <f aca="false">3.435*EXP(F77*0.02)</f>
        <v>17.0818573343002</v>
      </c>
    </row>
    <row r="78" customFormat="false" ht="15.75" hidden="false" customHeight="false" outlineLevel="0" collapsed="false">
      <c r="A78" s="17" t="n">
        <v>45911</v>
      </c>
      <c r="B78" s="7" t="n">
        <v>0.583333333333333</v>
      </c>
      <c r="C78" s="23" t="s">
        <v>8</v>
      </c>
      <c r="D78" s="38" t="n">
        <v>29.1</v>
      </c>
      <c r="E78" s="40" t="n">
        <v>65</v>
      </c>
      <c r="F78" s="36" t="n">
        <v>69.8</v>
      </c>
      <c r="G78" s="33" t="n">
        <v>31.5</v>
      </c>
      <c r="H78" s="34" t="n">
        <f aca="false">3.435*EXP(F78*0.02)</f>
        <v>13.874004727028</v>
      </c>
    </row>
    <row r="79" customFormat="false" ht="15.75" hidden="false" customHeight="false" outlineLevel="0" collapsed="false">
      <c r="A79" s="17" t="n">
        <v>45911</v>
      </c>
      <c r="B79" s="7" t="n">
        <v>0.583333333333333</v>
      </c>
      <c r="C79" s="23" t="s">
        <v>9</v>
      </c>
      <c r="D79" s="38" t="n">
        <v>29.1</v>
      </c>
      <c r="E79" s="40" t="n">
        <v>65</v>
      </c>
      <c r="F79" s="36" t="n">
        <v>69.2</v>
      </c>
      <c r="G79" s="33" t="n">
        <v>32.9</v>
      </c>
      <c r="H79" s="34" t="n">
        <f aca="false">3.435*EXP(F79*0.02)</f>
        <v>13.7085116148891</v>
      </c>
    </row>
    <row r="80" customFormat="false" ht="15.75" hidden="false" customHeight="false" outlineLevel="0" collapsed="false">
      <c r="A80" s="17" t="n">
        <v>45911</v>
      </c>
      <c r="B80" s="7" t="n">
        <v>0.666666666666667</v>
      </c>
      <c r="C80" s="23" t="s">
        <v>10</v>
      </c>
      <c r="D80" s="38" t="n">
        <v>25.8</v>
      </c>
      <c r="E80" s="40" t="n">
        <v>68.2</v>
      </c>
      <c r="F80" s="36" t="n">
        <v>80.4</v>
      </c>
      <c r="G80" s="33" t="n">
        <v>28.6</v>
      </c>
      <c r="H80" s="34" t="n">
        <f aca="false">3.435*EXP(F80*0.02)</f>
        <v>17.1503216008849</v>
      </c>
    </row>
    <row r="81" customFormat="false" ht="15.75" hidden="false" customHeight="false" outlineLevel="0" collapsed="false">
      <c r="A81" s="17" t="n">
        <v>45911</v>
      </c>
      <c r="B81" s="7" t="n">
        <v>0.666666666666667</v>
      </c>
      <c r="C81" s="23" t="s">
        <v>8</v>
      </c>
      <c r="D81" s="38" t="n">
        <v>25.8</v>
      </c>
      <c r="E81" s="40" t="n">
        <v>68.2</v>
      </c>
      <c r="F81" s="36" t="n">
        <v>68.6</v>
      </c>
      <c r="G81" s="33" t="n">
        <v>29.8</v>
      </c>
      <c r="H81" s="34" t="n">
        <f aca="false">3.435*EXP(F81*0.02)</f>
        <v>13.5449925521112</v>
      </c>
    </row>
    <row r="82" customFormat="false" ht="15.75" hidden="false" customHeight="false" outlineLevel="0" collapsed="false">
      <c r="A82" s="17" t="n">
        <v>45911</v>
      </c>
      <c r="B82" s="7" t="n">
        <v>0.666666666666667</v>
      </c>
      <c r="C82" s="23" t="s">
        <v>9</v>
      </c>
      <c r="D82" s="38" t="n">
        <v>25.8</v>
      </c>
      <c r="E82" s="40" t="n">
        <v>68.2</v>
      </c>
      <c r="F82" s="36" t="n">
        <v>67.2</v>
      </c>
      <c r="G82" s="33" t="n">
        <v>30.1</v>
      </c>
      <c r="H82" s="34" t="n">
        <f aca="false">3.435*EXP(F82*0.02)</f>
        <v>13.1709931860824</v>
      </c>
    </row>
    <row r="83" customFormat="false" ht="15.75" hidden="false" customHeight="false" outlineLevel="0" collapsed="false">
      <c r="A83" s="17" t="n">
        <v>45911</v>
      </c>
      <c r="B83" s="7" t="n">
        <v>0.75</v>
      </c>
      <c r="C83" s="23" t="s">
        <v>10</v>
      </c>
      <c r="D83" s="38" t="n">
        <v>25.3</v>
      </c>
      <c r="E83" s="40" t="n">
        <v>69</v>
      </c>
      <c r="F83" s="36" t="n">
        <v>82.4</v>
      </c>
      <c r="G83" s="33" t="n">
        <v>27.9</v>
      </c>
      <c r="H83" s="34" t="n">
        <f aca="false">3.435*EXP(F83*0.02)</f>
        <v>17.8502395030654</v>
      </c>
    </row>
    <row r="84" customFormat="false" ht="15.75" hidden="false" customHeight="false" outlineLevel="0" collapsed="false">
      <c r="A84" s="17" t="n">
        <v>45911</v>
      </c>
      <c r="B84" s="7" t="n">
        <v>0.75</v>
      </c>
      <c r="C84" s="23" t="s">
        <v>8</v>
      </c>
      <c r="D84" s="38" t="n">
        <v>25.3</v>
      </c>
      <c r="E84" s="40" t="n">
        <v>69</v>
      </c>
      <c r="F84" s="36" t="n">
        <v>66.5</v>
      </c>
      <c r="G84" s="33" t="n">
        <v>28.2</v>
      </c>
      <c r="H84" s="34" t="n">
        <f aca="false">3.435*EXP(F84*0.02)</f>
        <v>12.9878840362988</v>
      </c>
    </row>
    <row r="85" customFormat="false" ht="15.75" hidden="false" customHeight="false" outlineLevel="0" collapsed="false">
      <c r="A85" s="17" t="n">
        <v>45911</v>
      </c>
      <c r="B85" s="7" t="n">
        <v>0.75</v>
      </c>
      <c r="C85" s="23" t="s">
        <v>9</v>
      </c>
      <c r="D85" s="38" t="n">
        <v>25.3</v>
      </c>
      <c r="E85" s="40" t="n">
        <v>69</v>
      </c>
      <c r="F85" s="48" t="n">
        <v>66.8</v>
      </c>
      <c r="G85" s="33" t="n">
        <v>28.8</v>
      </c>
      <c r="H85" s="34" t="n">
        <f aca="false">3.435*EXP(F85*0.02)</f>
        <v>13.0660455906952</v>
      </c>
    </row>
    <row r="86" customFormat="false" ht="15.75" hidden="false" customHeight="false" outlineLevel="0" collapsed="false">
      <c r="A86" s="17" t="n">
        <v>45912</v>
      </c>
      <c r="B86" s="7" t="n">
        <v>0.333333333333333</v>
      </c>
      <c r="C86" s="8" t="s">
        <v>10</v>
      </c>
      <c r="D86" s="33" t="n">
        <v>20.4</v>
      </c>
      <c r="E86" s="36" t="n">
        <v>75</v>
      </c>
      <c r="F86" s="49" t="n">
        <v>84.7</v>
      </c>
      <c r="G86" s="33" t="n">
        <v>19.7</v>
      </c>
      <c r="H86" s="34" t="n">
        <f aca="false">3.435*EXP(F86*0.02)</f>
        <v>18.6905290131125</v>
      </c>
    </row>
    <row r="87" customFormat="false" ht="15.75" hidden="false" customHeight="false" outlineLevel="0" collapsed="false">
      <c r="A87" s="17" t="n">
        <v>45912</v>
      </c>
      <c r="B87" s="7" t="n">
        <v>0.333333333333333</v>
      </c>
      <c r="C87" s="8" t="s">
        <v>8</v>
      </c>
      <c r="D87" s="33" t="n">
        <v>20.4</v>
      </c>
      <c r="E87" s="36" t="n">
        <v>75</v>
      </c>
      <c r="F87" s="36" t="n">
        <v>67.2</v>
      </c>
      <c r="G87" s="33" t="n">
        <v>18.5</v>
      </c>
      <c r="H87" s="34" t="n">
        <f aca="false">3.435*EXP(F87*0.02)</f>
        <v>13.1709931860824</v>
      </c>
    </row>
    <row r="88" customFormat="false" ht="15.75" hidden="false" customHeight="false" outlineLevel="0" collapsed="false">
      <c r="A88" s="17" t="n">
        <v>45912</v>
      </c>
      <c r="B88" s="7" t="n">
        <v>0.333333333333333</v>
      </c>
      <c r="C88" s="8" t="s">
        <v>9</v>
      </c>
      <c r="D88" s="33" t="n">
        <v>20.4</v>
      </c>
      <c r="E88" s="36" t="n">
        <v>75</v>
      </c>
      <c r="F88" s="36" t="n">
        <v>66.9</v>
      </c>
      <c r="G88" s="33" t="n">
        <v>18.9</v>
      </c>
      <c r="H88" s="34" t="n">
        <f aca="false">3.435*EXP(F88*0.02)</f>
        <v>13.0922038313979</v>
      </c>
    </row>
    <row r="89" customFormat="false" ht="15.75" hidden="false" customHeight="false" outlineLevel="0" collapsed="false">
      <c r="A89" s="17" t="n">
        <v>45912</v>
      </c>
      <c r="B89" s="7" t="n">
        <v>0.416666666666667</v>
      </c>
      <c r="C89" s="8" t="s">
        <v>10</v>
      </c>
      <c r="D89" s="33" t="n">
        <v>23.7</v>
      </c>
      <c r="E89" s="36" t="n">
        <v>73</v>
      </c>
      <c r="F89" s="36" t="n">
        <v>82.7</v>
      </c>
      <c r="G89" s="33" t="n">
        <v>26.9</v>
      </c>
      <c r="H89" s="34" t="n">
        <f aca="false">3.435*EXP(F89*0.02)</f>
        <v>17.9576628879686</v>
      </c>
    </row>
    <row r="90" customFormat="false" ht="15.75" hidden="false" customHeight="false" outlineLevel="0" collapsed="false">
      <c r="A90" s="17" t="n">
        <v>45912</v>
      </c>
      <c r="B90" s="7" t="n">
        <v>0.416666666666667</v>
      </c>
      <c r="C90" s="8" t="s">
        <v>8</v>
      </c>
      <c r="D90" s="33" t="n">
        <v>23.7</v>
      </c>
      <c r="E90" s="36" t="n">
        <v>73</v>
      </c>
      <c r="F90" s="36" t="n">
        <v>65.2</v>
      </c>
      <c r="G90" s="38" t="n">
        <v>27.8</v>
      </c>
      <c r="H90" s="34" t="n">
        <f aca="false">3.435*EXP(F90*0.02)</f>
        <v>12.6545511563352</v>
      </c>
    </row>
    <row r="91" customFormat="false" ht="15.75" hidden="false" customHeight="false" outlineLevel="0" collapsed="false">
      <c r="A91" s="17" t="n">
        <v>45912</v>
      </c>
      <c r="B91" s="7" t="n">
        <v>0.416666666666667</v>
      </c>
      <c r="C91" s="8" t="s">
        <v>9</v>
      </c>
      <c r="D91" s="33" t="n">
        <v>23.7</v>
      </c>
      <c r="E91" s="36" t="n">
        <v>73</v>
      </c>
      <c r="F91" s="36" t="n">
        <v>64.3</v>
      </c>
      <c r="G91" s="38" t="n">
        <v>26.8</v>
      </c>
      <c r="H91" s="34" t="n">
        <f aca="false">3.435*EXP(F91*0.02)</f>
        <v>12.4288070277371</v>
      </c>
    </row>
    <row r="92" customFormat="false" ht="15.75" hidden="false" customHeight="false" outlineLevel="0" collapsed="false">
      <c r="A92" s="17" t="n">
        <v>45912</v>
      </c>
      <c r="B92" s="7" t="n">
        <v>0.5</v>
      </c>
      <c r="C92" s="8" t="s">
        <v>10</v>
      </c>
      <c r="D92" s="33" t="n">
        <v>25.1</v>
      </c>
      <c r="E92" s="36" t="n">
        <v>71</v>
      </c>
      <c r="F92" s="36" t="n">
        <v>80.5</v>
      </c>
      <c r="G92" s="38" t="n">
        <v>27.6</v>
      </c>
      <c r="H92" s="34" t="n">
        <f aca="false">3.435*EXP(F92*0.02)</f>
        <v>17.1846565676084</v>
      </c>
    </row>
    <row r="93" customFormat="false" ht="15.75" hidden="false" customHeight="false" outlineLevel="0" collapsed="false">
      <c r="A93" s="17" t="n">
        <v>45912</v>
      </c>
      <c r="B93" s="7" t="n">
        <v>0.5</v>
      </c>
      <c r="C93" s="8" t="s">
        <v>8</v>
      </c>
      <c r="D93" s="33" t="n">
        <v>25.1</v>
      </c>
      <c r="E93" s="36" t="n">
        <v>71</v>
      </c>
      <c r="F93" s="36" t="n">
        <v>63.4</v>
      </c>
      <c r="G93" s="38" t="n">
        <v>30.4</v>
      </c>
      <c r="H93" s="34" t="n">
        <f aca="false">3.435*EXP(F93*0.02)</f>
        <v>12.2070899413444</v>
      </c>
    </row>
    <row r="94" customFormat="false" ht="15.75" hidden="false" customHeight="false" outlineLevel="0" collapsed="false">
      <c r="A94" s="17" t="n">
        <v>45912</v>
      </c>
      <c r="B94" s="7" t="n">
        <v>0.5</v>
      </c>
      <c r="C94" s="8" t="s">
        <v>9</v>
      </c>
      <c r="D94" s="33" t="n">
        <v>25.1</v>
      </c>
      <c r="E94" s="36" t="n">
        <v>71</v>
      </c>
      <c r="F94" s="36" t="n">
        <v>64.2</v>
      </c>
      <c r="G94" s="38" t="n">
        <v>30.7</v>
      </c>
      <c r="H94" s="34" t="n">
        <f aca="false">3.435*EXP(F94*0.02)</f>
        <v>12.4039742547322</v>
      </c>
    </row>
    <row r="95" customFormat="false" ht="15.75" hidden="false" customHeight="false" outlineLevel="0" collapsed="false">
      <c r="A95" s="17" t="n">
        <v>45912</v>
      </c>
      <c r="B95" s="7" t="n">
        <v>0.583333333333333</v>
      </c>
      <c r="C95" s="8" t="s">
        <v>10</v>
      </c>
      <c r="D95" s="33" t="n">
        <v>25.5</v>
      </c>
      <c r="E95" s="36" t="n">
        <v>68</v>
      </c>
      <c r="F95" s="36" t="n">
        <v>79.6</v>
      </c>
      <c r="G95" s="38" t="n">
        <v>32.3</v>
      </c>
      <c r="H95" s="34" t="n">
        <f aca="false">3.435*EXP(F95*0.02)</f>
        <v>16.8781000351651</v>
      </c>
    </row>
    <row r="96" customFormat="false" ht="15.75" hidden="false" customHeight="false" outlineLevel="0" collapsed="false">
      <c r="A96" s="17" t="n">
        <v>45912</v>
      </c>
      <c r="B96" s="7" t="n">
        <v>0.583333333333333</v>
      </c>
      <c r="C96" s="8" t="s">
        <v>8</v>
      </c>
      <c r="D96" s="33" t="n">
        <v>25.5</v>
      </c>
      <c r="E96" s="36" t="n">
        <v>68</v>
      </c>
      <c r="F96" s="36" t="n">
        <v>62.5</v>
      </c>
      <c r="G96" s="38" t="n">
        <v>31.1</v>
      </c>
      <c r="H96" s="34" t="n">
        <f aca="false">3.435*EXP(F96*0.02)</f>
        <v>11.9893280588814</v>
      </c>
    </row>
    <row r="97" customFormat="false" ht="15.75" hidden="false" customHeight="false" outlineLevel="0" collapsed="false">
      <c r="A97" s="17" t="n">
        <v>45912</v>
      </c>
      <c r="B97" s="7" t="n">
        <v>0.583333333333333</v>
      </c>
      <c r="C97" s="8" t="s">
        <v>9</v>
      </c>
      <c r="D97" s="33" t="n">
        <v>25.5</v>
      </c>
      <c r="E97" s="36" t="n">
        <v>68</v>
      </c>
      <c r="F97" s="36" t="n">
        <v>61.9</v>
      </c>
      <c r="G97" s="38" t="n">
        <v>32.2</v>
      </c>
      <c r="H97" s="34" t="n">
        <f aca="false">3.435*EXP(F97*0.02)</f>
        <v>11.8463159112026</v>
      </c>
    </row>
    <row r="98" customFormat="false" ht="15.75" hidden="false" customHeight="false" outlineLevel="0" collapsed="false">
      <c r="A98" s="17" t="n">
        <v>45912</v>
      </c>
      <c r="B98" s="7" t="n">
        <v>0.666666666666667</v>
      </c>
      <c r="C98" s="8" t="s">
        <v>10</v>
      </c>
      <c r="D98" s="33" t="n">
        <v>25.6</v>
      </c>
      <c r="E98" s="36" t="n">
        <v>67</v>
      </c>
      <c r="F98" s="36" t="n">
        <v>80.3</v>
      </c>
      <c r="G98" s="38" t="n">
        <v>32.1</v>
      </c>
      <c r="H98" s="34" t="n">
        <f aca="false">3.435*EXP(F98*0.02)</f>
        <v>17.1160552354706</v>
      </c>
    </row>
    <row r="99" customFormat="false" ht="15.75" hidden="false" customHeight="false" outlineLevel="0" collapsed="false">
      <c r="A99" s="17" t="n">
        <v>45912</v>
      </c>
      <c r="B99" s="7" t="n">
        <v>0.666666666666667</v>
      </c>
      <c r="C99" s="8" t="s">
        <v>8</v>
      </c>
      <c r="D99" s="33" t="n">
        <v>25.6</v>
      </c>
      <c r="E99" s="36" t="n">
        <v>67</v>
      </c>
      <c r="F99" s="36" t="n">
        <v>61.8</v>
      </c>
      <c r="G99" s="38" t="n">
        <v>33.5</v>
      </c>
      <c r="H99" s="34" t="n">
        <f aca="false">3.435*EXP(F99*0.02)</f>
        <v>11.8226469562248</v>
      </c>
    </row>
    <row r="100" customFormat="false" ht="15.75" hidden="false" customHeight="false" outlineLevel="0" collapsed="false">
      <c r="A100" s="17" t="n">
        <v>45912</v>
      </c>
      <c r="B100" s="7" t="n">
        <v>0.666666666666667</v>
      </c>
      <c r="C100" s="8" t="s">
        <v>9</v>
      </c>
      <c r="D100" s="33" t="n">
        <v>25.6</v>
      </c>
      <c r="E100" s="36" t="n">
        <v>67</v>
      </c>
      <c r="F100" s="36" t="n">
        <v>62.9</v>
      </c>
      <c r="G100" s="38" t="n">
        <v>32.4</v>
      </c>
      <c r="H100" s="34" t="n">
        <f aca="false">3.435*EXP(F100*0.02)</f>
        <v>12.0856273669891</v>
      </c>
    </row>
    <row r="101" customFormat="false" ht="15.75" hidden="false" customHeight="false" outlineLevel="0" collapsed="false">
      <c r="A101" s="17" t="n">
        <v>45912</v>
      </c>
      <c r="B101" s="7" t="n">
        <v>0.75</v>
      </c>
      <c r="C101" s="8" t="s">
        <v>10</v>
      </c>
      <c r="D101" s="33" t="n">
        <v>25.5</v>
      </c>
      <c r="E101" s="47" t="n">
        <v>66</v>
      </c>
      <c r="F101" s="33" t="n">
        <v>81.4</v>
      </c>
      <c r="G101" s="41" t="n">
        <v>31.2</v>
      </c>
      <c r="H101" s="34" t="n">
        <f aca="false">3.435*EXP(F101*0.02)</f>
        <v>17.4967810791126</v>
      </c>
    </row>
    <row r="102" customFormat="false" ht="15.75" hidden="false" customHeight="false" outlineLevel="0" collapsed="false">
      <c r="A102" s="17" t="n">
        <v>45912</v>
      </c>
      <c r="B102" s="7" t="n">
        <v>0.75</v>
      </c>
      <c r="C102" s="8" t="s">
        <v>8</v>
      </c>
      <c r="D102" s="33" t="n">
        <v>25.5</v>
      </c>
      <c r="E102" s="47" t="n">
        <v>66</v>
      </c>
      <c r="F102" s="33" t="n">
        <v>60.2</v>
      </c>
      <c r="G102" s="38" t="n">
        <v>32.8</v>
      </c>
      <c r="H102" s="34" t="n">
        <f aca="false">3.435*EXP(F102*0.02)</f>
        <v>11.4503113947023</v>
      </c>
    </row>
    <row r="103" customFormat="false" ht="15.75" hidden="false" customHeight="false" outlineLevel="0" collapsed="false">
      <c r="A103" s="17" t="n">
        <v>45912</v>
      </c>
      <c r="B103" s="7" t="n">
        <v>0.75</v>
      </c>
      <c r="C103" s="8" t="s">
        <v>9</v>
      </c>
      <c r="D103" s="33" t="n">
        <v>25.5</v>
      </c>
      <c r="E103" s="47" t="n">
        <v>66</v>
      </c>
      <c r="F103" s="33" t="n">
        <v>61.1</v>
      </c>
      <c r="G103" s="38" t="n">
        <v>30.8</v>
      </c>
      <c r="H103" s="34" t="n">
        <f aca="false">3.435*EXP(F103*0.02)</f>
        <v>11.6582831302201</v>
      </c>
    </row>
    <row r="104" customFormat="false" ht="15.75" hidden="false" customHeight="false" outlineLevel="0" collapsed="false">
      <c r="A104" s="28" t="n">
        <v>45913</v>
      </c>
      <c r="B104" s="7" t="n">
        <v>0.333333333333333</v>
      </c>
      <c r="C104" s="8" t="s">
        <v>10</v>
      </c>
      <c r="D104" s="33" t="n">
        <v>22.8</v>
      </c>
      <c r="E104" s="36" t="n">
        <v>73.9</v>
      </c>
      <c r="F104" s="33" t="n">
        <v>80.6</v>
      </c>
      <c r="G104" s="38" t="n">
        <v>22.1</v>
      </c>
      <c r="H104" s="34" t="n">
        <f aca="false">3.435*EXP(F104*0.02)</f>
        <v>17.2190602729811</v>
      </c>
    </row>
    <row r="105" customFormat="false" ht="15.75" hidden="false" customHeight="false" outlineLevel="0" collapsed="false">
      <c r="A105" s="28" t="n">
        <v>45913</v>
      </c>
      <c r="B105" s="7" t="n">
        <v>0.333333333333333</v>
      </c>
      <c r="C105" s="8" t="s">
        <v>8</v>
      </c>
      <c r="D105" s="33" t="n">
        <v>22.8</v>
      </c>
      <c r="E105" s="36" t="n">
        <v>73.9</v>
      </c>
      <c r="F105" s="33" t="n">
        <v>61.4</v>
      </c>
      <c r="G105" s="38" t="n">
        <v>23.2</v>
      </c>
      <c r="H105" s="34" t="n">
        <f aca="false">3.435*EXP(F105*0.02)</f>
        <v>11.7284430984262</v>
      </c>
    </row>
    <row r="106" customFormat="false" ht="15.75" hidden="false" customHeight="false" outlineLevel="0" collapsed="false">
      <c r="A106" s="28" t="n">
        <v>45913</v>
      </c>
      <c r="B106" s="7" t="n">
        <v>0.333333333333333</v>
      </c>
      <c r="C106" s="8" t="s">
        <v>9</v>
      </c>
      <c r="D106" s="33" t="n">
        <v>22.8</v>
      </c>
      <c r="E106" s="36" t="n">
        <v>73.9</v>
      </c>
      <c r="F106" s="33" t="n">
        <v>60.9</v>
      </c>
      <c r="G106" s="38" t="n">
        <v>20.1</v>
      </c>
      <c r="H106" s="34" t="n">
        <f aca="false">3.435*EXP(F106*0.02)</f>
        <v>11.6117431397335</v>
      </c>
    </row>
    <row r="107" customFormat="false" ht="15.75" hidden="false" customHeight="false" outlineLevel="0" collapsed="false">
      <c r="A107" s="28" t="n">
        <v>45913</v>
      </c>
      <c r="B107" s="7" t="n">
        <v>0.416666666666667</v>
      </c>
      <c r="C107" s="8" t="s">
        <v>10</v>
      </c>
      <c r="D107" s="33" t="n">
        <v>23.9</v>
      </c>
      <c r="E107" s="36" t="n">
        <v>71.6</v>
      </c>
      <c r="F107" s="33" t="n">
        <v>78.5</v>
      </c>
      <c r="G107" s="38" t="n">
        <v>25.1</v>
      </c>
      <c r="H107" s="34" t="n">
        <f aca="false">3.435*EXP(F107*0.02)</f>
        <v>16.5108365456177</v>
      </c>
    </row>
    <row r="108" customFormat="false" ht="15.75" hidden="false" customHeight="false" outlineLevel="0" collapsed="false">
      <c r="A108" s="28" t="n">
        <v>45913</v>
      </c>
      <c r="B108" s="7" t="n">
        <v>0.416666666666667</v>
      </c>
      <c r="C108" s="8" t="s">
        <v>8</v>
      </c>
      <c r="D108" s="33" t="n">
        <v>23.9</v>
      </c>
      <c r="E108" s="36" t="n">
        <v>71.6</v>
      </c>
      <c r="F108" s="33" t="n">
        <v>59.5</v>
      </c>
      <c r="G108" s="38" t="n">
        <v>24.2</v>
      </c>
      <c r="H108" s="34" t="n">
        <f aca="false">3.435*EXP(F108*0.02)</f>
        <v>11.291123947361</v>
      </c>
    </row>
    <row r="109" customFormat="false" ht="15.75" hidden="false" customHeight="false" outlineLevel="0" collapsed="false">
      <c r="A109" s="28" t="n">
        <v>45913</v>
      </c>
      <c r="B109" s="7" t="n">
        <v>0.416666666666667</v>
      </c>
      <c r="C109" s="8" t="s">
        <v>9</v>
      </c>
      <c r="D109" s="33" t="n">
        <v>23.9</v>
      </c>
      <c r="E109" s="36" t="n">
        <v>71.6</v>
      </c>
      <c r="F109" s="33" t="n">
        <v>58.1</v>
      </c>
      <c r="G109" s="38" t="n">
        <v>25.2</v>
      </c>
      <c r="H109" s="34" t="n">
        <f aca="false">3.435*EXP(F109*0.02)</f>
        <v>10.9793575745248</v>
      </c>
    </row>
    <row r="110" customFormat="false" ht="15.75" hidden="false" customHeight="false" outlineLevel="0" collapsed="false">
      <c r="A110" s="28" t="n">
        <v>45913</v>
      </c>
      <c r="B110" s="7" t="n">
        <v>0.5</v>
      </c>
      <c r="C110" s="8" t="s">
        <v>10</v>
      </c>
      <c r="D110" s="33" t="n">
        <v>25.1</v>
      </c>
      <c r="E110" s="36" t="n">
        <v>70.2</v>
      </c>
      <c r="F110" s="33" t="n">
        <v>78.2</v>
      </c>
      <c r="G110" s="38" t="n">
        <v>29.4</v>
      </c>
      <c r="H110" s="34" t="n">
        <f aca="false">3.435*EXP(F110*0.02)</f>
        <v>16.4120681279023</v>
      </c>
    </row>
    <row r="111" customFormat="false" ht="15.75" hidden="false" customHeight="false" outlineLevel="0" collapsed="false">
      <c r="A111" s="28" t="n">
        <v>45913</v>
      </c>
      <c r="B111" s="7" t="n">
        <v>0.5</v>
      </c>
      <c r="C111" s="8" t="s">
        <v>8</v>
      </c>
      <c r="D111" s="33" t="n">
        <v>25.1</v>
      </c>
      <c r="E111" s="36" t="n">
        <v>70.2</v>
      </c>
      <c r="F111" s="33" t="n">
        <v>57.9</v>
      </c>
      <c r="G111" s="38" t="n">
        <v>30.9</v>
      </c>
      <c r="H111" s="34" t="n">
        <f aca="false">3.435*EXP(F111*0.02)</f>
        <v>10.9355278620912</v>
      </c>
    </row>
    <row r="112" customFormat="false" ht="15.75" hidden="false" customHeight="false" outlineLevel="0" collapsed="false">
      <c r="A112" s="28" t="n">
        <v>45913</v>
      </c>
      <c r="B112" s="7" t="n">
        <v>0.5</v>
      </c>
      <c r="C112" s="8" t="s">
        <v>9</v>
      </c>
      <c r="D112" s="33" t="n">
        <v>25.1</v>
      </c>
      <c r="E112" s="36" t="n">
        <v>70.2</v>
      </c>
      <c r="F112" s="33" t="n">
        <v>58.2</v>
      </c>
      <c r="G112" s="38" t="n">
        <v>31.7</v>
      </c>
      <c r="H112" s="34" t="n">
        <f aca="false">3.435*EXP(F112*0.02)</f>
        <v>11.0013382630355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60156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.75" hidden="false" customHeight="false" outlineLevel="0" collapsed="false">
      <c r="A2" s="50" t="n">
        <v>45937</v>
      </c>
      <c r="B2" s="7" t="n">
        <v>0.583333333333333</v>
      </c>
      <c r="C2" s="8" t="s">
        <v>7</v>
      </c>
      <c r="D2" s="9" t="n">
        <v>30.5</v>
      </c>
      <c r="E2" s="9" t="n">
        <v>35</v>
      </c>
      <c r="F2" s="10" t="n">
        <v>48.3</v>
      </c>
      <c r="G2" s="11" t="n">
        <v>28.9</v>
      </c>
    </row>
    <row r="3" customFormat="false" ht="15.75" hidden="false" customHeight="false" outlineLevel="0" collapsed="false">
      <c r="A3" s="50" t="n">
        <v>45937</v>
      </c>
      <c r="B3" s="7" t="n">
        <v>0.583333333333333</v>
      </c>
      <c r="C3" s="8" t="s">
        <v>8</v>
      </c>
      <c r="D3" s="9" t="n">
        <v>30.5</v>
      </c>
      <c r="E3" s="9" t="n">
        <v>35</v>
      </c>
      <c r="F3" s="10" t="n">
        <v>48.3</v>
      </c>
      <c r="G3" s="11" t="n">
        <v>29.2</v>
      </c>
    </row>
    <row r="4" customFormat="false" ht="15.75" hidden="false" customHeight="false" outlineLevel="0" collapsed="false">
      <c r="A4" s="50" t="n">
        <v>45937</v>
      </c>
      <c r="B4" s="7" t="n">
        <v>0.583333333333333</v>
      </c>
      <c r="C4" s="8" t="s">
        <v>9</v>
      </c>
      <c r="D4" s="9" t="n">
        <v>30.5</v>
      </c>
      <c r="E4" s="9" t="n">
        <v>35</v>
      </c>
      <c r="F4" s="10" t="n">
        <v>41.2</v>
      </c>
      <c r="G4" s="11" t="n">
        <v>28.1</v>
      </c>
    </row>
    <row r="5" customFormat="false" ht="15.75" hidden="false" customHeight="false" outlineLevel="0" collapsed="false">
      <c r="A5" s="50" t="n">
        <v>45937</v>
      </c>
      <c r="B5" s="7" t="n">
        <v>0.666666666666667</v>
      </c>
      <c r="C5" s="8" t="s">
        <v>10</v>
      </c>
      <c r="D5" s="9" t="n">
        <v>33.4</v>
      </c>
      <c r="E5" s="9" t="n">
        <v>31</v>
      </c>
      <c r="F5" s="10" t="n">
        <v>39.1</v>
      </c>
      <c r="G5" s="12" t="n">
        <v>27.4</v>
      </c>
    </row>
    <row r="6" customFormat="false" ht="15.75" hidden="false" customHeight="false" outlineLevel="0" collapsed="false">
      <c r="A6" s="50" t="n">
        <v>45937</v>
      </c>
      <c r="B6" s="7" t="n">
        <v>0.666666666666667</v>
      </c>
      <c r="C6" s="8" t="s">
        <v>8</v>
      </c>
      <c r="D6" s="9" t="n">
        <v>33.4</v>
      </c>
      <c r="E6" s="9" t="n">
        <v>31</v>
      </c>
      <c r="F6" s="10" t="n">
        <v>39</v>
      </c>
      <c r="G6" s="12" t="n">
        <v>27.7</v>
      </c>
    </row>
    <row r="7" customFormat="false" ht="15.75" hidden="false" customHeight="false" outlineLevel="0" collapsed="false">
      <c r="A7" s="50" t="n">
        <v>45937</v>
      </c>
      <c r="B7" s="7" t="n">
        <v>0.666666666666667</v>
      </c>
      <c r="C7" s="8" t="s">
        <v>9</v>
      </c>
      <c r="D7" s="9" t="n">
        <v>33.4</v>
      </c>
      <c r="E7" s="9" t="n">
        <v>31</v>
      </c>
      <c r="F7" s="10" t="n">
        <v>38.8</v>
      </c>
      <c r="G7" s="12" t="n">
        <v>27.8</v>
      </c>
    </row>
    <row r="8" customFormat="false" ht="15.75" hidden="false" customHeight="false" outlineLevel="0" collapsed="false">
      <c r="A8" s="50" t="n">
        <v>45937</v>
      </c>
      <c r="B8" s="7" t="n">
        <v>0.75</v>
      </c>
      <c r="C8" s="8" t="s">
        <v>10</v>
      </c>
      <c r="D8" s="9" t="n">
        <v>33.9</v>
      </c>
      <c r="E8" s="9" t="n">
        <v>33</v>
      </c>
      <c r="F8" s="10" t="n">
        <v>37</v>
      </c>
      <c r="G8" s="11" t="n">
        <v>26.1</v>
      </c>
    </row>
    <row r="9" customFormat="false" ht="15.75" hidden="false" customHeight="false" outlineLevel="0" collapsed="false">
      <c r="A9" s="50" t="n">
        <v>45937</v>
      </c>
      <c r="B9" s="7" t="n">
        <v>0.75</v>
      </c>
      <c r="C9" s="8" t="s">
        <v>8</v>
      </c>
      <c r="D9" s="9" t="n">
        <v>33.9</v>
      </c>
      <c r="E9" s="9" t="n">
        <v>33</v>
      </c>
      <c r="F9" s="10" t="n">
        <v>37.2</v>
      </c>
      <c r="G9" s="11" t="n">
        <v>26.1</v>
      </c>
    </row>
    <row r="10" customFormat="false" ht="15.75" hidden="false" customHeight="false" outlineLevel="0" collapsed="false">
      <c r="A10" s="50" t="n">
        <v>45937</v>
      </c>
      <c r="B10" s="7" t="n">
        <v>0.75</v>
      </c>
      <c r="C10" s="8" t="s">
        <v>9</v>
      </c>
      <c r="D10" s="9" t="n">
        <v>33.9</v>
      </c>
      <c r="E10" s="9" t="n">
        <v>33</v>
      </c>
      <c r="F10" s="10" t="n">
        <v>37.4</v>
      </c>
      <c r="G10" s="11" t="n">
        <v>26.1</v>
      </c>
    </row>
    <row r="11" customFormat="false" ht="15.75" hidden="false" customHeight="false" outlineLevel="0" collapsed="false">
      <c r="A11" s="50" t="n">
        <v>45938</v>
      </c>
      <c r="B11" s="7" t="n">
        <v>0.333333333333333</v>
      </c>
      <c r="C11" s="8" t="s">
        <v>10</v>
      </c>
      <c r="D11" s="13" t="n">
        <v>26.1</v>
      </c>
      <c r="E11" s="13" t="n">
        <v>40</v>
      </c>
      <c r="F11" s="10" t="n">
        <v>32.1</v>
      </c>
      <c r="G11" s="11" t="n">
        <v>20.8</v>
      </c>
    </row>
    <row r="12" customFormat="false" ht="15.75" hidden="false" customHeight="false" outlineLevel="0" collapsed="false">
      <c r="A12" s="50" t="n">
        <v>45938</v>
      </c>
      <c r="B12" s="7" t="n">
        <v>0.333333333333333</v>
      </c>
      <c r="C12" s="8" t="s">
        <v>8</v>
      </c>
      <c r="D12" s="13" t="n">
        <v>26.1</v>
      </c>
      <c r="E12" s="13" t="n">
        <v>40</v>
      </c>
      <c r="F12" s="10" t="n">
        <v>26.8</v>
      </c>
      <c r="G12" s="11" t="n">
        <v>20.5</v>
      </c>
    </row>
    <row r="13" customFormat="false" ht="15.75" hidden="false" customHeight="false" outlineLevel="0" collapsed="false">
      <c r="A13" s="50" t="n">
        <v>45938</v>
      </c>
      <c r="B13" s="7" t="n">
        <v>0.333333333333333</v>
      </c>
      <c r="C13" s="8" t="s">
        <v>9</v>
      </c>
      <c r="D13" s="13" t="n">
        <v>26.1</v>
      </c>
      <c r="E13" s="13" t="n">
        <v>40</v>
      </c>
      <c r="F13" s="10" t="n">
        <v>34.6</v>
      </c>
      <c r="G13" s="11" t="n">
        <v>19.9</v>
      </c>
    </row>
    <row r="14" customFormat="false" ht="15.75" hidden="false" customHeight="false" outlineLevel="0" collapsed="false">
      <c r="A14" s="50" t="n">
        <v>45938</v>
      </c>
      <c r="B14" s="7" t="n">
        <v>0.416666666666667</v>
      </c>
      <c r="C14" s="8" t="s">
        <v>10</v>
      </c>
      <c r="D14" s="13" t="n">
        <v>25.7</v>
      </c>
      <c r="E14" s="13" t="n">
        <v>48</v>
      </c>
      <c r="F14" s="10" t="n">
        <v>30.3</v>
      </c>
      <c r="G14" s="11" t="n">
        <v>21.4</v>
      </c>
    </row>
    <row r="15" customFormat="false" ht="15.75" hidden="false" customHeight="false" outlineLevel="0" collapsed="false">
      <c r="A15" s="50" t="n">
        <v>45938</v>
      </c>
      <c r="B15" s="7" t="n">
        <v>0.416666666666667</v>
      </c>
      <c r="C15" s="8" t="s">
        <v>8</v>
      </c>
      <c r="D15" s="13" t="n">
        <v>25.7</v>
      </c>
      <c r="E15" s="13" t="n">
        <v>48</v>
      </c>
      <c r="F15" s="10" t="n">
        <v>30.9</v>
      </c>
      <c r="G15" s="11" t="n">
        <v>21.4</v>
      </c>
    </row>
    <row r="16" customFormat="false" ht="15.75" hidden="false" customHeight="false" outlineLevel="0" collapsed="false">
      <c r="A16" s="50" t="n">
        <v>45938</v>
      </c>
      <c r="B16" s="7" t="n">
        <v>0.416666666666667</v>
      </c>
      <c r="C16" s="8" t="s">
        <v>9</v>
      </c>
      <c r="D16" s="13" t="n">
        <v>25.7</v>
      </c>
      <c r="E16" s="13" t="n">
        <v>48</v>
      </c>
      <c r="F16" s="10" t="n">
        <v>27.9</v>
      </c>
      <c r="G16" s="11" t="n">
        <v>22.7</v>
      </c>
    </row>
    <row r="17" customFormat="false" ht="15.75" hidden="false" customHeight="false" outlineLevel="0" collapsed="false">
      <c r="A17" s="50" t="n">
        <v>45938</v>
      </c>
      <c r="B17" s="7" t="n">
        <v>0.5</v>
      </c>
      <c r="C17" s="8" t="s">
        <v>10</v>
      </c>
      <c r="D17" s="13" t="n">
        <v>27.1</v>
      </c>
      <c r="E17" s="13" t="n">
        <v>39</v>
      </c>
      <c r="F17" s="10" t="n">
        <v>36.9</v>
      </c>
      <c r="G17" s="11" t="n">
        <v>24.1</v>
      </c>
    </row>
    <row r="18" customFormat="false" ht="15.75" hidden="false" customHeight="false" outlineLevel="0" collapsed="false">
      <c r="A18" s="50" t="n">
        <v>45938</v>
      </c>
      <c r="B18" s="7" t="n">
        <v>0.5</v>
      </c>
      <c r="C18" s="8" t="s">
        <v>8</v>
      </c>
      <c r="D18" s="13" t="n">
        <v>27.1</v>
      </c>
      <c r="E18" s="13" t="n">
        <v>39</v>
      </c>
      <c r="F18" s="10" t="n">
        <v>30.4</v>
      </c>
      <c r="G18" s="10" t="n">
        <v>23.4</v>
      </c>
    </row>
    <row r="19" customFormat="false" ht="15.75" hidden="false" customHeight="false" outlineLevel="0" collapsed="false">
      <c r="A19" s="50" t="n">
        <v>45938</v>
      </c>
      <c r="B19" s="7" t="n">
        <v>0.5</v>
      </c>
      <c r="C19" s="8" t="s">
        <v>9</v>
      </c>
      <c r="D19" s="13" t="n">
        <v>27.1</v>
      </c>
      <c r="E19" s="13" t="n">
        <v>39</v>
      </c>
      <c r="F19" s="10" t="n">
        <v>27.8</v>
      </c>
      <c r="G19" s="10" t="n">
        <v>23.4</v>
      </c>
    </row>
    <row r="20" customFormat="false" ht="15.75" hidden="false" customHeight="false" outlineLevel="0" collapsed="false">
      <c r="A20" s="50" t="n">
        <v>45938</v>
      </c>
      <c r="B20" s="7" t="n">
        <v>0.583333333333333</v>
      </c>
      <c r="C20" s="8" t="s">
        <v>10</v>
      </c>
      <c r="D20" s="9" t="n">
        <v>24.5</v>
      </c>
      <c r="E20" s="9" t="n">
        <v>39</v>
      </c>
      <c r="F20" s="10" t="n">
        <v>27.1</v>
      </c>
      <c r="G20" s="10" t="n">
        <v>20.6</v>
      </c>
    </row>
    <row r="21" customFormat="false" ht="15.75" hidden="false" customHeight="false" outlineLevel="0" collapsed="false">
      <c r="A21" s="50" t="n">
        <v>45938</v>
      </c>
      <c r="B21" s="7" t="n">
        <v>0.583333333333333</v>
      </c>
      <c r="C21" s="8" t="s">
        <v>8</v>
      </c>
      <c r="D21" s="9" t="n">
        <v>24.5</v>
      </c>
      <c r="E21" s="9" t="n">
        <v>39</v>
      </c>
      <c r="F21" s="10" t="n">
        <v>27.1</v>
      </c>
      <c r="G21" s="10" t="n">
        <v>20.6</v>
      </c>
    </row>
    <row r="22" customFormat="false" ht="15.75" hidden="false" customHeight="false" outlineLevel="0" collapsed="false">
      <c r="A22" s="50" t="n">
        <v>45938</v>
      </c>
      <c r="B22" s="7" t="n">
        <v>0.583333333333333</v>
      </c>
      <c r="C22" s="8" t="s">
        <v>9</v>
      </c>
      <c r="D22" s="9" t="n">
        <v>24.5</v>
      </c>
      <c r="E22" s="9" t="n">
        <v>39</v>
      </c>
      <c r="F22" s="10" t="n">
        <v>27.1</v>
      </c>
      <c r="G22" s="10" t="n">
        <v>20.6</v>
      </c>
    </row>
    <row r="23" customFormat="false" ht="15.75" hidden="false" customHeight="false" outlineLevel="0" collapsed="false">
      <c r="A23" s="50" t="n">
        <v>45938</v>
      </c>
      <c r="B23" s="7" t="n">
        <v>0.666666666666667</v>
      </c>
      <c r="C23" s="8" t="s">
        <v>10</v>
      </c>
      <c r="D23" s="9" t="n">
        <v>24.5</v>
      </c>
      <c r="E23" s="9" t="n">
        <v>44</v>
      </c>
      <c r="F23" s="10" t="n">
        <v>32.3</v>
      </c>
      <c r="G23" s="10" t="n">
        <v>21.2</v>
      </c>
    </row>
    <row r="24" customFormat="false" ht="15.75" hidden="false" customHeight="false" outlineLevel="0" collapsed="false">
      <c r="A24" s="50" t="n">
        <v>45938</v>
      </c>
      <c r="B24" s="7" t="n">
        <v>0.666666666666667</v>
      </c>
      <c r="C24" s="8" t="s">
        <v>8</v>
      </c>
      <c r="D24" s="9" t="n">
        <v>24.5</v>
      </c>
      <c r="E24" s="9" t="n">
        <v>44</v>
      </c>
      <c r="F24" s="10" t="n">
        <v>32.2</v>
      </c>
      <c r="G24" s="10" t="n">
        <v>21.2</v>
      </c>
    </row>
    <row r="25" customFormat="false" ht="15.75" hidden="false" customHeight="false" outlineLevel="0" collapsed="false">
      <c r="A25" s="50" t="n">
        <v>45938</v>
      </c>
      <c r="B25" s="7" t="n">
        <v>0.666666666666667</v>
      </c>
      <c r="C25" s="8" t="s">
        <v>9</v>
      </c>
      <c r="D25" s="9" t="n">
        <v>24.5</v>
      </c>
      <c r="E25" s="9" t="n">
        <v>44</v>
      </c>
      <c r="F25" s="10" t="n">
        <v>32.2</v>
      </c>
      <c r="G25" s="10" t="n">
        <v>21.2</v>
      </c>
    </row>
    <row r="26" customFormat="false" ht="15.75" hidden="false" customHeight="false" outlineLevel="0" collapsed="false">
      <c r="A26" s="50" t="n">
        <v>45938</v>
      </c>
      <c r="B26" s="7" t="n">
        <v>0.75</v>
      </c>
      <c r="C26" s="8" t="s">
        <v>10</v>
      </c>
      <c r="D26" s="9" t="n">
        <v>21.7</v>
      </c>
      <c r="E26" s="9" t="n">
        <v>69</v>
      </c>
      <c r="F26" s="10" t="n">
        <v>27.3</v>
      </c>
      <c r="G26" s="10" t="n">
        <v>19.1</v>
      </c>
    </row>
    <row r="27" customFormat="false" ht="15.75" hidden="false" customHeight="false" outlineLevel="0" collapsed="false">
      <c r="A27" s="50" t="n">
        <v>45938</v>
      </c>
      <c r="B27" s="7" t="n">
        <v>0.75</v>
      </c>
      <c r="C27" s="8" t="s">
        <v>8</v>
      </c>
      <c r="D27" s="9" t="n">
        <v>21.7</v>
      </c>
      <c r="E27" s="9" t="n">
        <v>69</v>
      </c>
      <c r="F27" s="10" t="n">
        <v>32.9</v>
      </c>
      <c r="G27" s="10" t="n">
        <v>19.3</v>
      </c>
    </row>
    <row r="28" customFormat="false" ht="15.75" hidden="false" customHeight="false" outlineLevel="0" collapsed="false">
      <c r="A28" s="50" t="n">
        <v>45938</v>
      </c>
      <c r="B28" s="7" t="n">
        <v>0.75</v>
      </c>
      <c r="C28" s="8" t="s">
        <v>9</v>
      </c>
      <c r="D28" s="9" t="n">
        <v>21.7</v>
      </c>
      <c r="E28" s="9" t="n">
        <v>69</v>
      </c>
      <c r="F28" s="10" t="n">
        <v>32.8</v>
      </c>
      <c r="G28" s="10" t="n">
        <v>19.2</v>
      </c>
    </row>
    <row r="29" customFormat="false" ht="15.75" hidden="false" customHeight="false" outlineLevel="0" collapsed="false">
      <c r="A29" s="50" t="n">
        <v>45939</v>
      </c>
      <c r="B29" s="7" t="n">
        <v>0.333333333333333</v>
      </c>
      <c r="C29" s="8" t="s">
        <v>10</v>
      </c>
      <c r="D29" s="14" t="n">
        <v>26.2</v>
      </c>
      <c r="E29" s="15" t="n">
        <v>44</v>
      </c>
      <c r="F29" s="10" t="n">
        <v>30.7</v>
      </c>
      <c r="G29" s="10" t="n">
        <v>26.3</v>
      </c>
    </row>
    <row r="30" customFormat="false" ht="15.75" hidden="false" customHeight="false" outlineLevel="0" collapsed="false">
      <c r="A30" s="50" t="n">
        <v>45939</v>
      </c>
      <c r="B30" s="7" t="n">
        <v>0.333333333333333</v>
      </c>
      <c r="C30" s="8" t="s">
        <v>8</v>
      </c>
      <c r="D30" s="14" t="n">
        <v>26.2</v>
      </c>
      <c r="E30" s="15" t="n">
        <v>44</v>
      </c>
      <c r="F30" s="10" t="n">
        <v>30</v>
      </c>
      <c r="G30" s="10" t="n">
        <v>29.7</v>
      </c>
    </row>
    <row r="31" customFormat="false" ht="15.75" hidden="false" customHeight="false" outlineLevel="0" collapsed="false">
      <c r="A31" s="50" t="n">
        <v>45939</v>
      </c>
      <c r="B31" s="7" t="n">
        <v>0.333333333333333</v>
      </c>
      <c r="C31" s="8" t="s">
        <v>9</v>
      </c>
      <c r="D31" s="14" t="n">
        <v>26.2</v>
      </c>
      <c r="E31" s="15" t="n">
        <v>44</v>
      </c>
      <c r="F31" s="16" t="n">
        <v>29.9</v>
      </c>
      <c r="G31" s="16" t="n">
        <v>30.2</v>
      </c>
    </row>
    <row r="32" customFormat="false" ht="15.75" hidden="false" customHeight="false" outlineLevel="0" collapsed="false">
      <c r="A32" s="50" t="n">
        <v>45939</v>
      </c>
      <c r="B32" s="7" t="n">
        <v>0.416666666666667</v>
      </c>
      <c r="C32" s="8" t="s">
        <v>10</v>
      </c>
      <c r="D32" s="18" t="n">
        <v>29.2</v>
      </c>
      <c r="E32" s="9" t="n">
        <v>33</v>
      </c>
      <c r="F32" s="12" t="n">
        <v>23.1</v>
      </c>
      <c r="G32" s="12" t="n">
        <v>30.2</v>
      </c>
    </row>
    <row r="33" customFormat="false" ht="15.75" hidden="false" customHeight="false" outlineLevel="0" collapsed="false">
      <c r="A33" s="50" t="n">
        <v>45939</v>
      </c>
      <c r="B33" s="7" t="n">
        <v>0.416666666666667</v>
      </c>
      <c r="C33" s="8" t="s">
        <v>8</v>
      </c>
      <c r="D33" s="18" t="n">
        <v>29.2</v>
      </c>
      <c r="E33" s="9" t="n">
        <v>33</v>
      </c>
      <c r="F33" s="10" t="n">
        <v>23.1</v>
      </c>
      <c r="G33" s="10" t="n">
        <v>23.2</v>
      </c>
    </row>
    <row r="34" customFormat="false" ht="15.75" hidden="false" customHeight="false" outlineLevel="0" collapsed="false">
      <c r="A34" s="50" t="n">
        <v>45939</v>
      </c>
      <c r="B34" s="7" t="n">
        <v>0.416666666666667</v>
      </c>
      <c r="C34" s="8" t="s">
        <v>9</v>
      </c>
      <c r="D34" s="18" t="n">
        <v>29.2</v>
      </c>
      <c r="E34" s="9" t="n">
        <v>33</v>
      </c>
      <c r="F34" s="10" t="n">
        <v>24.3</v>
      </c>
      <c r="G34" s="10" t="n">
        <v>33.8</v>
      </c>
    </row>
    <row r="35" customFormat="false" ht="15.75" hidden="false" customHeight="false" outlineLevel="0" collapsed="false">
      <c r="A35" s="50" t="n">
        <v>45939</v>
      </c>
      <c r="B35" s="7" t="n">
        <v>0.5</v>
      </c>
      <c r="C35" s="8" t="s">
        <v>10</v>
      </c>
      <c r="D35" s="18" t="n">
        <v>28.7</v>
      </c>
      <c r="E35" s="9" t="n">
        <v>35</v>
      </c>
      <c r="F35" s="12" t="n">
        <v>18.9</v>
      </c>
      <c r="G35" s="10" t="n">
        <v>33.2</v>
      </c>
    </row>
    <row r="36" customFormat="false" ht="15.75" hidden="false" customHeight="false" outlineLevel="0" collapsed="false">
      <c r="A36" s="50" t="n">
        <v>45939</v>
      </c>
      <c r="B36" s="7" t="n">
        <v>0.5</v>
      </c>
      <c r="C36" s="8" t="s">
        <v>8</v>
      </c>
      <c r="D36" s="18" t="n">
        <v>28.7</v>
      </c>
      <c r="E36" s="9" t="n">
        <v>35</v>
      </c>
      <c r="F36" s="10" t="n">
        <v>20.3</v>
      </c>
      <c r="G36" s="10" t="n">
        <v>36.5</v>
      </c>
    </row>
    <row r="37" customFormat="false" ht="15.75" hidden="false" customHeight="false" outlineLevel="0" collapsed="false">
      <c r="A37" s="50" t="n">
        <v>45939</v>
      </c>
      <c r="B37" s="7" t="n">
        <v>0.5</v>
      </c>
      <c r="C37" s="8" t="s">
        <v>9</v>
      </c>
      <c r="D37" s="18" t="n">
        <v>28.7</v>
      </c>
      <c r="E37" s="9" t="n">
        <v>35</v>
      </c>
      <c r="F37" s="10" t="n">
        <v>20.9</v>
      </c>
      <c r="G37" s="10" t="n">
        <v>36.5</v>
      </c>
    </row>
    <row r="38" customFormat="false" ht="15.75" hidden="false" customHeight="false" outlineLevel="0" collapsed="false">
      <c r="A38" s="50" t="n">
        <v>45939</v>
      </c>
      <c r="B38" s="7" t="n">
        <v>0.583333333333333</v>
      </c>
      <c r="C38" s="8" t="s">
        <v>10</v>
      </c>
      <c r="D38" s="9" t="n">
        <v>33.4</v>
      </c>
      <c r="E38" s="19" t="n">
        <v>41</v>
      </c>
      <c r="F38" s="10" t="n">
        <v>17.8</v>
      </c>
      <c r="G38" s="10" t="n">
        <v>39.9</v>
      </c>
    </row>
    <row r="39" customFormat="false" ht="15.75" hidden="false" customHeight="false" outlineLevel="0" collapsed="false">
      <c r="A39" s="50" t="n">
        <v>45939</v>
      </c>
      <c r="B39" s="7" t="n">
        <v>0.583333333333333</v>
      </c>
      <c r="C39" s="8" t="s">
        <v>8</v>
      </c>
      <c r="D39" s="9" t="n">
        <v>33.4</v>
      </c>
      <c r="E39" s="19" t="n">
        <v>41</v>
      </c>
      <c r="F39" s="10" t="n">
        <v>19.1</v>
      </c>
      <c r="G39" s="10" t="n">
        <v>38.4</v>
      </c>
    </row>
    <row r="40" customFormat="false" ht="15.75" hidden="false" customHeight="false" outlineLevel="0" collapsed="false">
      <c r="A40" s="50" t="n">
        <v>45939</v>
      </c>
      <c r="B40" s="7" t="n">
        <v>0.583333333333333</v>
      </c>
      <c r="C40" s="8" t="s">
        <v>9</v>
      </c>
      <c r="D40" s="9" t="n">
        <v>33.4</v>
      </c>
      <c r="E40" s="19" t="n">
        <v>41</v>
      </c>
      <c r="F40" s="10" t="n">
        <v>18.3</v>
      </c>
      <c r="G40" s="10" t="n">
        <v>38.4</v>
      </c>
    </row>
    <row r="41" customFormat="false" ht="15.75" hidden="false" customHeight="false" outlineLevel="0" collapsed="false">
      <c r="A41" s="50" t="n">
        <v>45939</v>
      </c>
      <c r="B41" s="7" t="n">
        <v>0.666666666666667</v>
      </c>
      <c r="C41" s="8" t="s">
        <v>10</v>
      </c>
      <c r="D41" s="9" t="n">
        <v>29.1</v>
      </c>
      <c r="E41" s="19" t="n">
        <v>46</v>
      </c>
      <c r="F41" s="10" t="n">
        <v>15.2</v>
      </c>
      <c r="G41" s="10" t="n">
        <v>30.1</v>
      </c>
    </row>
    <row r="42" customFormat="false" ht="15.75" hidden="false" customHeight="false" outlineLevel="0" collapsed="false">
      <c r="A42" s="50" t="n">
        <v>45939</v>
      </c>
      <c r="B42" s="7" t="n">
        <v>0.666666666666667</v>
      </c>
      <c r="C42" s="8" t="s">
        <v>8</v>
      </c>
      <c r="D42" s="9" t="n">
        <v>29.1</v>
      </c>
      <c r="E42" s="19" t="n">
        <v>46</v>
      </c>
      <c r="F42" s="10" t="n">
        <v>16.1</v>
      </c>
      <c r="G42" s="10" t="n">
        <v>30.2</v>
      </c>
    </row>
    <row r="43" customFormat="false" ht="15.75" hidden="false" customHeight="false" outlineLevel="0" collapsed="false">
      <c r="A43" s="50" t="n">
        <v>45939</v>
      </c>
      <c r="B43" s="7" t="n">
        <v>0.666666666666667</v>
      </c>
      <c r="C43" s="8" t="s">
        <v>9</v>
      </c>
      <c r="D43" s="9" t="n">
        <v>29.1</v>
      </c>
      <c r="E43" s="19" t="n">
        <v>46</v>
      </c>
      <c r="F43" s="10" t="n">
        <v>15.9</v>
      </c>
      <c r="G43" s="10" t="n">
        <v>29.9</v>
      </c>
    </row>
    <row r="44" customFormat="false" ht="15.75" hidden="false" customHeight="false" outlineLevel="0" collapsed="false">
      <c r="A44" s="50" t="n">
        <v>45939</v>
      </c>
      <c r="B44" s="7" t="n">
        <v>0.75</v>
      </c>
      <c r="C44" s="8" t="s">
        <v>10</v>
      </c>
      <c r="D44" s="20" t="n">
        <v>24.6</v>
      </c>
      <c r="E44" s="19" t="n">
        <v>50</v>
      </c>
      <c r="F44" s="12" t="n">
        <v>16.2</v>
      </c>
      <c r="G44" s="10" t="n">
        <v>30</v>
      </c>
    </row>
    <row r="45" customFormat="false" ht="15.75" hidden="false" customHeight="false" outlineLevel="0" collapsed="false">
      <c r="A45" s="50" t="n">
        <v>45939</v>
      </c>
      <c r="B45" s="7" t="n">
        <v>0.75</v>
      </c>
      <c r="C45" s="8" t="s">
        <v>8</v>
      </c>
      <c r="D45" s="20" t="n">
        <v>24.6</v>
      </c>
      <c r="E45" s="19" t="n">
        <v>50</v>
      </c>
      <c r="F45" s="12" t="n">
        <v>16.2</v>
      </c>
      <c r="G45" s="10" t="n">
        <v>30</v>
      </c>
    </row>
    <row r="46" customFormat="false" ht="15.75" hidden="false" customHeight="false" outlineLevel="0" collapsed="false">
      <c r="A46" s="50" t="n">
        <v>45939</v>
      </c>
      <c r="B46" s="7" t="n">
        <v>0.75</v>
      </c>
      <c r="C46" s="8" t="s">
        <v>9</v>
      </c>
      <c r="D46" s="20" t="n">
        <v>24.6</v>
      </c>
      <c r="E46" s="19" t="n">
        <v>50</v>
      </c>
      <c r="F46" s="12" t="n">
        <v>16.4</v>
      </c>
      <c r="G46" s="10" t="n">
        <v>30</v>
      </c>
    </row>
    <row r="47" customFormat="false" ht="15.75" hidden="false" customHeight="false" outlineLevel="0" collapsed="false">
      <c r="A47" s="50" t="n">
        <v>45940</v>
      </c>
      <c r="B47" s="7" t="n">
        <v>0.333333333333333</v>
      </c>
      <c r="C47" s="8" t="s">
        <v>10</v>
      </c>
      <c r="D47" s="21" t="n">
        <v>20.7</v>
      </c>
      <c r="E47" s="19" t="n">
        <v>61</v>
      </c>
      <c r="F47" s="12" t="n">
        <v>22.5</v>
      </c>
      <c r="G47" s="12" t="n">
        <v>18.9</v>
      </c>
    </row>
    <row r="48" customFormat="false" ht="15.75" hidden="false" customHeight="false" outlineLevel="0" collapsed="false">
      <c r="A48" s="50" t="n">
        <v>45940</v>
      </c>
      <c r="B48" s="7" t="n">
        <v>0.333333333333333</v>
      </c>
      <c r="C48" s="8" t="s">
        <v>8</v>
      </c>
      <c r="D48" s="21" t="n">
        <v>20.7</v>
      </c>
      <c r="E48" s="19" t="n">
        <v>61</v>
      </c>
      <c r="F48" s="12" t="n">
        <v>23.7</v>
      </c>
      <c r="G48" s="10" t="n">
        <v>18.9</v>
      </c>
    </row>
    <row r="49" customFormat="false" ht="15.75" hidden="false" customHeight="false" outlineLevel="0" collapsed="false">
      <c r="A49" s="50" t="n">
        <v>45940</v>
      </c>
      <c r="B49" s="7" t="n">
        <v>0.333333333333333</v>
      </c>
      <c r="C49" s="8" t="s">
        <v>9</v>
      </c>
      <c r="D49" s="21" t="n">
        <v>20.7</v>
      </c>
      <c r="E49" s="19" t="n">
        <v>61</v>
      </c>
      <c r="F49" s="12" t="n">
        <v>23.7</v>
      </c>
      <c r="G49" s="10" t="n">
        <v>18.9</v>
      </c>
    </row>
    <row r="50" customFormat="false" ht="15.75" hidden="false" customHeight="false" outlineLevel="0" collapsed="false">
      <c r="A50" s="50" t="n">
        <v>45940</v>
      </c>
      <c r="B50" s="7" t="n">
        <v>0.416666666666667</v>
      </c>
      <c r="C50" s="8" t="s">
        <v>10</v>
      </c>
      <c r="D50" s="9" t="n">
        <v>22</v>
      </c>
      <c r="E50" s="19" t="n">
        <v>57</v>
      </c>
      <c r="F50" s="10" t="n">
        <v>23.4</v>
      </c>
      <c r="G50" s="10" t="n">
        <v>19.3</v>
      </c>
    </row>
    <row r="51" customFormat="false" ht="15.75" hidden="false" customHeight="false" outlineLevel="0" collapsed="false">
      <c r="A51" s="50" t="n">
        <v>45940</v>
      </c>
      <c r="B51" s="7" t="n">
        <v>0.416666666666667</v>
      </c>
      <c r="C51" s="8" t="s">
        <v>8</v>
      </c>
      <c r="D51" s="9" t="n">
        <v>22</v>
      </c>
      <c r="E51" s="19" t="n">
        <v>57</v>
      </c>
      <c r="F51" s="10" t="n">
        <v>25.2</v>
      </c>
      <c r="G51" s="10" t="n">
        <v>19.3</v>
      </c>
    </row>
    <row r="52" customFormat="false" ht="15.75" hidden="false" customHeight="false" outlineLevel="0" collapsed="false">
      <c r="A52" s="50" t="n">
        <v>45940</v>
      </c>
      <c r="B52" s="7" t="n">
        <v>0.416666666666667</v>
      </c>
      <c r="C52" s="8" t="s">
        <v>9</v>
      </c>
      <c r="D52" s="9" t="n">
        <v>22</v>
      </c>
      <c r="E52" s="19" t="n">
        <v>57</v>
      </c>
      <c r="F52" s="10" t="n">
        <v>25.3</v>
      </c>
      <c r="G52" s="10" t="n">
        <v>19.3</v>
      </c>
    </row>
    <row r="53" customFormat="false" ht="15.75" hidden="false" customHeight="false" outlineLevel="0" collapsed="false">
      <c r="A53" s="50" t="n">
        <v>45940</v>
      </c>
      <c r="B53" s="7" t="n">
        <v>0.5</v>
      </c>
      <c r="C53" s="8" t="s">
        <v>10</v>
      </c>
      <c r="D53" s="15" t="n">
        <v>22.3</v>
      </c>
      <c r="E53" s="22" t="n">
        <v>58</v>
      </c>
      <c r="F53" s="10" t="n">
        <v>27.8</v>
      </c>
      <c r="G53" s="10" t="n">
        <v>19.3</v>
      </c>
    </row>
    <row r="54" customFormat="false" ht="15.75" hidden="false" customHeight="false" outlineLevel="0" collapsed="false">
      <c r="A54" s="50" t="n">
        <v>45940</v>
      </c>
      <c r="B54" s="7" t="n">
        <v>0.5</v>
      </c>
      <c r="C54" s="8" t="s">
        <v>8</v>
      </c>
      <c r="D54" s="15" t="n">
        <v>22.3</v>
      </c>
      <c r="E54" s="22" t="n">
        <v>58</v>
      </c>
      <c r="F54" s="10" t="n">
        <v>22.8</v>
      </c>
      <c r="G54" s="10" t="n">
        <v>19.3</v>
      </c>
    </row>
    <row r="55" customFormat="false" ht="15.75" hidden="false" customHeight="false" outlineLevel="0" collapsed="false">
      <c r="A55" s="50" t="n">
        <v>45940</v>
      </c>
      <c r="B55" s="7" t="n">
        <v>0.5</v>
      </c>
      <c r="C55" s="8" t="s">
        <v>9</v>
      </c>
      <c r="D55" s="15" t="n">
        <v>22.3</v>
      </c>
      <c r="E55" s="22" t="n">
        <v>58</v>
      </c>
      <c r="F55" s="10" t="n">
        <v>22.8</v>
      </c>
      <c r="G55" s="10" t="n">
        <v>19.3</v>
      </c>
    </row>
    <row r="56" customFormat="false" ht="15.75" hidden="false" customHeight="false" outlineLevel="0" collapsed="false">
      <c r="A56" s="50" t="n">
        <v>45940</v>
      </c>
      <c r="B56" s="7" t="n">
        <v>0.583333333333333</v>
      </c>
      <c r="C56" s="8" t="s">
        <v>10</v>
      </c>
      <c r="D56" s="18" t="n">
        <v>21.6</v>
      </c>
      <c r="E56" s="19" t="n">
        <v>62.1</v>
      </c>
      <c r="F56" s="10" t="n">
        <v>25.1</v>
      </c>
      <c r="G56" s="10" t="n">
        <v>19.3</v>
      </c>
    </row>
    <row r="57" customFormat="false" ht="15.75" hidden="false" customHeight="false" outlineLevel="0" collapsed="false">
      <c r="A57" s="50" t="n">
        <v>45940</v>
      </c>
      <c r="B57" s="7" t="n">
        <v>0.583333333333333</v>
      </c>
      <c r="C57" s="8" t="s">
        <v>8</v>
      </c>
      <c r="D57" s="18" t="n">
        <v>21.6</v>
      </c>
      <c r="E57" s="19" t="n">
        <v>62.1</v>
      </c>
      <c r="F57" s="10" t="n">
        <v>25.1</v>
      </c>
      <c r="G57" s="10" t="n">
        <v>19.3</v>
      </c>
    </row>
    <row r="58" customFormat="false" ht="15.75" hidden="false" customHeight="false" outlineLevel="0" collapsed="false">
      <c r="A58" s="50" t="n">
        <v>45940</v>
      </c>
      <c r="B58" s="7" t="n">
        <v>0.583333333333333</v>
      </c>
      <c r="C58" s="8" t="s">
        <v>9</v>
      </c>
      <c r="D58" s="18" t="n">
        <v>21.6</v>
      </c>
      <c r="E58" s="19" t="n">
        <v>62.1</v>
      </c>
      <c r="F58" s="10" t="n">
        <v>25.1</v>
      </c>
      <c r="G58" s="10" t="n">
        <v>19.3</v>
      </c>
    </row>
    <row r="59" customFormat="false" ht="15.75" hidden="false" customHeight="false" outlineLevel="0" collapsed="false">
      <c r="A59" s="50" t="n">
        <v>45940</v>
      </c>
      <c r="B59" s="7" t="n">
        <v>0.666666666666667</v>
      </c>
      <c r="C59" s="8" t="s">
        <v>10</v>
      </c>
      <c r="D59" s="9" t="n">
        <v>22.1</v>
      </c>
      <c r="E59" s="9" t="n">
        <v>59</v>
      </c>
      <c r="F59" s="10" t="n">
        <v>25.2</v>
      </c>
      <c r="G59" s="10" t="n">
        <v>19.3</v>
      </c>
    </row>
    <row r="60" customFormat="false" ht="15.75" hidden="false" customHeight="false" outlineLevel="0" collapsed="false">
      <c r="A60" s="50" t="n">
        <v>45940</v>
      </c>
      <c r="B60" s="7" t="n">
        <v>0.666666666666667</v>
      </c>
      <c r="C60" s="8" t="s">
        <v>8</v>
      </c>
      <c r="D60" s="9" t="n">
        <v>22.1</v>
      </c>
      <c r="E60" s="9" t="n">
        <v>59</v>
      </c>
      <c r="F60" s="10" t="n">
        <v>25.9</v>
      </c>
      <c r="G60" s="10" t="n">
        <v>19.3</v>
      </c>
    </row>
    <row r="61" customFormat="false" ht="15.75" hidden="false" customHeight="false" outlineLevel="0" collapsed="false">
      <c r="A61" s="50" t="n">
        <v>45940</v>
      </c>
      <c r="B61" s="7" t="n">
        <v>0.666666666666667</v>
      </c>
      <c r="C61" s="8" t="s">
        <v>9</v>
      </c>
      <c r="D61" s="9" t="n">
        <v>22.1</v>
      </c>
      <c r="E61" s="9" t="n">
        <v>59</v>
      </c>
      <c r="F61" s="10" t="n">
        <v>25.1</v>
      </c>
      <c r="G61" s="10" t="n">
        <v>19.3</v>
      </c>
    </row>
    <row r="62" customFormat="false" ht="15.75" hidden="false" customHeight="false" outlineLevel="0" collapsed="false">
      <c r="A62" s="50" t="n">
        <v>45940</v>
      </c>
      <c r="B62" s="7" t="n">
        <v>0.75</v>
      </c>
      <c r="C62" s="8" t="s">
        <v>10</v>
      </c>
      <c r="D62" s="9" t="n">
        <v>20.6</v>
      </c>
      <c r="E62" s="9" t="n">
        <v>61</v>
      </c>
      <c r="F62" s="10" t="n">
        <v>26</v>
      </c>
      <c r="G62" s="10" t="n">
        <v>19</v>
      </c>
    </row>
    <row r="63" customFormat="false" ht="15.75" hidden="false" customHeight="false" outlineLevel="0" collapsed="false">
      <c r="A63" s="50" t="n">
        <v>45940</v>
      </c>
      <c r="B63" s="7" t="n">
        <v>0.75</v>
      </c>
      <c r="C63" s="8" t="s">
        <v>8</v>
      </c>
      <c r="D63" s="9" t="n">
        <v>20.6</v>
      </c>
      <c r="E63" s="9" t="n">
        <v>61</v>
      </c>
      <c r="F63" s="10" t="n">
        <v>26</v>
      </c>
      <c r="G63" s="10" t="n">
        <v>19</v>
      </c>
    </row>
    <row r="64" customFormat="false" ht="15.75" hidden="false" customHeight="false" outlineLevel="0" collapsed="false">
      <c r="A64" s="50" t="n">
        <v>45940</v>
      </c>
      <c r="B64" s="7" t="n">
        <v>0.75</v>
      </c>
      <c r="C64" s="8" t="s">
        <v>9</v>
      </c>
      <c r="D64" s="9" t="n">
        <v>20.6</v>
      </c>
      <c r="E64" s="9" t="n">
        <v>61</v>
      </c>
      <c r="F64" s="10" t="n">
        <v>26</v>
      </c>
      <c r="G64" s="10" t="n">
        <v>19</v>
      </c>
    </row>
    <row r="65" customFormat="false" ht="15.75" hidden="false" customHeight="false" outlineLevel="0" collapsed="false">
      <c r="A65" s="50" t="n">
        <v>45941</v>
      </c>
      <c r="B65" s="7" t="n">
        <v>0.333333333333333</v>
      </c>
      <c r="C65" s="8" t="s">
        <v>10</v>
      </c>
      <c r="D65" s="9" t="n">
        <v>21.4</v>
      </c>
      <c r="E65" s="9" t="n">
        <v>65</v>
      </c>
      <c r="F65" s="10" t="n">
        <v>25.2</v>
      </c>
      <c r="G65" s="10" t="n">
        <v>19</v>
      </c>
    </row>
    <row r="66" customFormat="false" ht="15.75" hidden="false" customHeight="false" outlineLevel="0" collapsed="false">
      <c r="A66" s="50" t="n">
        <v>45941</v>
      </c>
      <c r="B66" s="7" t="n">
        <v>0.333333333333333</v>
      </c>
      <c r="C66" s="8" t="s">
        <v>8</v>
      </c>
      <c r="D66" s="9" t="n">
        <v>21.4</v>
      </c>
      <c r="E66" s="9" t="n">
        <v>65</v>
      </c>
      <c r="F66" s="10" t="n">
        <v>24.6</v>
      </c>
      <c r="G66" s="10" t="n">
        <v>19</v>
      </c>
    </row>
    <row r="67" customFormat="false" ht="15.75" hidden="false" customHeight="false" outlineLevel="0" collapsed="false">
      <c r="A67" s="50" t="n">
        <v>45941</v>
      </c>
      <c r="B67" s="7" t="n">
        <v>0.333333333333333</v>
      </c>
      <c r="C67" s="8" t="s">
        <v>9</v>
      </c>
      <c r="D67" s="9" t="n">
        <v>21.4</v>
      </c>
      <c r="E67" s="9" t="n">
        <v>65</v>
      </c>
      <c r="F67" s="10" t="n">
        <v>25.2</v>
      </c>
      <c r="G67" s="10" t="n">
        <v>19</v>
      </c>
    </row>
    <row r="68" customFormat="false" ht="15.75" hidden="false" customHeight="false" outlineLevel="0" collapsed="false">
      <c r="A68" s="50" t="n">
        <v>45941</v>
      </c>
      <c r="B68" s="7" t="n">
        <v>0.416666666666667</v>
      </c>
      <c r="C68" s="23" t="s">
        <v>10</v>
      </c>
      <c r="D68" s="9" t="n">
        <v>23.3</v>
      </c>
      <c r="E68" s="9" t="n">
        <v>65</v>
      </c>
      <c r="F68" s="10" t="n">
        <v>16</v>
      </c>
      <c r="G68" s="10" t="n">
        <v>26.1</v>
      </c>
    </row>
    <row r="69" customFormat="false" ht="15.75" hidden="false" customHeight="false" outlineLevel="0" collapsed="false">
      <c r="A69" s="50" t="n">
        <v>45941</v>
      </c>
      <c r="B69" s="7" t="n">
        <v>0.416666666666667</v>
      </c>
      <c r="C69" s="23" t="s">
        <v>8</v>
      </c>
      <c r="D69" s="9" t="n">
        <v>23.3</v>
      </c>
      <c r="E69" s="9" t="n">
        <v>65</v>
      </c>
      <c r="F69" s="10" t="n">
        <v>16.1</v>
      </c>
      <c r="G69" s="10" t="n">
        <v>21</v>
      </c>
    </row>
    <row r="70" customFormat="false" ht="15.75" hidden="false" customHeight="false" outlineLevel="0" collapsed="false">
      <c r="A70" s="50" t="n">
        <v>45941</v>
      </c>
      <c r="B70" s="7" t="n">
        <v>0.416666666666667</v>
      </c>
      <c r="C70" s="23" t="s">
        <v>9</v>
      </c>
      <c r="D70" s="9" t="n">
        <v>23.3</v>
      </c>
      <c r="E70" s="9" t="n">
        <v>65</v>
      </c>
      <c r="F70" s="10" t="n">
        <v>16.2</v>
      </c>
      <c r="G70" s="10" t="n">
        <v>26.9</v>
      </c>
    </row>
    <row r="71" customFormat="false" ht="15.75" hidden="false" customHeight="false" outlineLevel="0" collapsed="false">
      <c r="A71" s="50" t="n">
        <v>45941</v>
      </c>
      <c r="B71" s="7" t="n">
        <v>0.5</v>
      </c>
      <c r="C71" s="23" t="s">
        <v>10</v>
      </c>
      <c r="D71" s="9" t="n">
        <v>24.3</v>
      </c>
      <c r="E71" s="9" t="n">
        <v>62</v>
      </c>
      <c r="F71" s="10" t="n">
        <v>15.2</v>
      </c>
      <c r="G71" s="10" t="n">
        <v>27.1</v>
      </c>
    </row>
    <row r="72" customFormat="false" ht="15.75" hidden="false" customHeight="false" outlineLevel="0" collapsed="false">
      <c r="A72" s="50" t="n">
        <v>45941</v>
      </c>
      <c r="B72" s="7" t="n">
        <v>0.5</v>
      </c>
      <c r="C72" s="23" t="s">
        <v>8</v>
      </c>
      <c r="D72" s="9" t="n">
        <v>24.3</v>
      </c>
      <c r="E72" s="9" t="n">
        <v>62</v>
      </c>
      <c r="F72" s="10" t="n">
        <v>15.2</v>
      </c>
      <c r="G72" s="10" t="n">
        <v>27.1</v>
      </c>
    </row>
    <row r="73" customFormat="false" ht="15.75" hidden="false" customHeight="false" outlineLevel="0" collapsed="false">
      <c r="A73" s="50" t="n">
        <v>45941</v>
      </c>
      <c r="B73" s="7" t="n">
        <v>0.5</v>
      </c>
      <c r="C73" s="23" t="s">
        <v>9</v>
      </c>
      <c r="D73" s="9" t="n">
        <v>24.3</v>
      </c>
      <c r="E73" s="9" t="n">
        <v>62</v>
      </c>
      <c r="F73" s="10" t="n">
        <v>15.2</v>
      </c>
      <c r="G73" s="10" t="n">
        <v>27.1</v>
      </c>
    </row>
    <row r="74" customFormat="false" ht="15.75" hidden="false" customHeight="false" outlineLevel="0" collapsed="false">
      <c r="A74" s="50" t="n">
        <v>45941</v>
      </c>
      <c r="B74" s="7" t="n">
        <v>0.583333333333333</v>
      </c>
      <c r="C74" s="23" t="s">
        <v>10</v>
      </c>
      <c r="D74" s="24" t="n">
        <v>24.7</v>
      </c>
      <c r="E74" s="24" t="n">
        <v>65</v>
      </c>
      <c r="F74" s="25" t="n">
        <v>15.3</v>
      </c>
      <c r="G74" s="25" t="n">
        <v>22.3</v>
      </c>
    </row>
    <row r="75" customFormat="false" ht="15.75" hidden="false" customHeight="false" outlineLevel="0" collapsed="false">
      <c r="A75" s="50" t="n">
        <v>45941</v>
      </c>
      <c r="B75" s="7" t="n">
        <v>0.583333333333333</v>
      </c>
      <c r="C75" s="23" t="s">
        <v>8</v>
      </c>
      <c r="D75" s="24" t="n">
        <v>24.7</v>
      </c>
      <c r="E75" s="24" t="n">
        <v>65</v>
      </c>
      <c r="F75" s="10" t="n">
        <v>15.3</v>
      </c>
      <c r="G75" s="10" t="n">
        <v>25.3</v>
      </c>
    </row>
    <row r="76" customFormat="false" ht="15.75" hidden="false" customHeight="false" outlineLevel="0" collapsed="false">
      <c r="A76" s="50" t="n">
        <v>45941</v>
      </c>
      <c r="B76" s="7" t="n">
        <v>0.583333333333333</v>
      </c>
      <c r="C76" s="23" t="s">
        <v>9</v>
      </c>
      <c r="D76" s="24" t="n">
        <v>24.7</v>
      </c>
      <c r="E76" s="24" t="n">
        <v>65</v>
      </c>
      <c r="F76" s="10" t="n">
        <v>15.3</v>
      </c>
      <c r="G76" s="10" t="n">
        <v>25.3</v>
      </c>
    </row>
    <row r="77" customFormat="false" ht="15.75" hidden="false" customHeight="false" outlineLevel="0" collapsed="false">
      <c r="A77" s="50" t="n">
        <v>45941</v>
      </c>
      <c r="B77" s="7" t="n">
        <v>0.666666666666667</v>
      </c>
      <c r="C77" s="23" t="s">
        <v>10</v>
      </c>
      <c r="D77" s="9" t="n">
        <v>23.5</v>
      </c>
      <c r="E77" s="13" t="n">
        <v>58</v>
      </c>
      <c r="F77" s="10" t="n">
        <v>15.5</v>
      </c>
      <c r="G77" s="10" t="n">
        <v>25</v>
      </c>
    </row>
    <row r="78" customFormat="false" ht="15.75" hidden="false" customHeight="false" outlineLevel="0" collapsed="false">
      <c r="A78" s="50" t="n">
        <v>45941</v>
      </c>
      <c r="B78" s="7" t="n">
        <v>0.666666666666667</v>
      </c>
      <c r="C78" s="23" t="s">
        <v>8</v>
      </c>
      <c r="D78" s="9" t="n">
        <v>23.5</v>
      </c>
      <c r="E78" s="13" t="n">
        <v>58</v>
      </c>
      <c r="F78" s="10" t="n">
        <v>15.5</v>
      </c>
      <c r="G78" s="10" t="n">
        <v>25</v>
      </c>
    </row>
    <row r="79" customFormat="false" ht="15.75" hidden="false" customHeight="false" outlineLevel="0" collapsed="false">
      <c r="A79" s="50" t="n">
        <v>45941</v>
      </c>
      <c r="B79" s="7" t="n">
        <v>0.666666666666667</v>
      </c>
      <c r="C79" s="23" t="s">
        <v>9</v>
      </c>
      <c r="D79" s="9" t="n">
        <v>23.5</v>
      </c>
      <c r="E79" s="13" t="n">
        <v>58</v>
      </c>
      <c r="F79" s="10" t="n">
        <v>15.5</v>
      </c>
      <c r="G79" s="10" t="n">
        <v>25</v>
      </c>
    </row>
    <row r="80" customFormat="false" ht="15.75" hidden="false" customHeight="false" outlineLevel="0" collapsed="false">
      <c r="A80" s="50" t="n">
        <v>45941</v>
      </c>
      <c r="B80" s="7" t="n">
        <v>0.75</v>
      </c>
      <c r="C80" s="23" t="s">
        <v>10</v>
      </c>
      <c r="D80" s="9" t="n">
        <v>20.5</v>
      </c>
      <c r="E80" s="9" t="n">
        <v>72</v>
      </c>
      <c r="F80" s="10" t="n">
        <v>16.1</v>
      </c>
      <c r="G80" s="10" t="n">
        <v>18.7</v>
      </c>
    </row>
    <row r="81" customFormat="false" ht="15.75" hidden="false" customHeight="false" outlineLevel="0" collapsed="false">
      <c r="A81" s="50" t="n">
        <v>45941</v>
      </c>
      <c r="B81" s="7" t="n">
        <v>0.75</v>
      </c>
      <c r="C81" s="23" t="s">
        <v>8</v>
      </c>
      <c r="D81" s="9" t="n">
        <v>20.5</v>
      </c>
      <c r="E81" s="9" t="n">
        <v>72</v>
      </c>
      <c r="F81" s="10" t="n">
        <v>16.2</v>
      </c>
      <c r="G81" s="10" t="n">
        <v>18.7</v>
      </c>
    </row>
    <row r="82" customFormat="false" ht="15.75" hidden="false" customHeight="false" outlineLevel="0" collapsed="false">
      <c r="A82" s="50" t="n">
        <v>45941</v>
      </c>
      <c r="B82" s="7" t="n">
        <v>0.75</v>
      </c>
      <c r="C82" s="23" t="s">
        <v>9</v>
      </c>
      <c r="D82" s="9" t="n">
        <v>20.5</v>
      </c>
      <c r="E82" s="9" t="n">
        <v>72</v>
      </c>
      <c r="F82" s="10" t="n">
        <v>16.1</v>
      </c>
      <c r="G82" s="10" t="n">
        <v>18.7</v>
      </c>
    </row>
    <row r="83" customFormat="false" ht="15.75" hidden="false" customHeight="false" outlineLevel="0" collapsed="false">
      <c r="A83" s="50" t="n">
        <v>45942</v>
      </c>
      <c r="B83" s="7" t="n">
        <v>0.333333333333333</v>
      </c>
      <c r="C83" s="23" t="s">
        <v>10</v>
      </c>
      <c r="D83" s="9" t="n">
        <v>20.3</v>
      </c>
      <c r="E83" s="9" t="n">
        <v>60</v>
      </c>
      <c r="F83" s="10" t="n">
        <v>17.2</v>
      </c>
      <c r="G83" s="10" t="n">
        <v>19.2</v>
      </c>
    </row>
    <row r="84" customFormat="false" ht="15.75" hidden="false" customHeight="false" outlineLevel="0" collapsed="false">
      <c r="A84" s="50" t="n">
        <v>45942</v>
      </c>
      <c r="B84" s="7" t="n">
        <v>0.333333333333333</v>
      </c>
      <c r="C84" s="23" t="s">
        <v>8</v>
      </c>
      <c r="D84" s="9" t="n">
        <v>20.3</v>
      </c>
      <c r="E84" s="9" t="n">
        <v>60</v>
      </c>
      <c r="F84" s="10" t="n">
        <v>17.3</v>
      </c>
      <c r="G84" s="10" t="n">
        <v>20.1</v>
      </c>
    </row>
    <row r="85" customFormat="false" ht="15.75" hidden="false" customHeight="false" outlineLevel="0" collapsed="false">
      <c r="A85" s="50" t="n">
        <v>45942</v>
      </c>
      <c r="B85" s="7" t="n">
        <v>0.333333333333333</v>
      </c>
      <c r="C85" s="23" t="s">
        <v>9</v>
      </c>
      <c r="D85" s="9" t="n">
        <v>20.3</v>
      </c>
      <c r="E85" s="9" t="n">
        <v>60</v>
      </c>
      <c r="F85" s="10" t="n">
        <v>17.6</v>
      </c>
      <c r="G85" s="10" t="n">
        <v>20.4</v>
      </c>
    </row>
    <row r="86" customFormat="false" ht="15.75" hidden="false" customHeight="false" outlineLevel="0" collapsed="false">
      <c r="A86" s="50" t="n">
        <v>45942</v>
      </c>
      <c r="B86" s="7" t="n">
        <v>0.416666666666667</v>
      </c>
      <c r="C86" s="8" t="s">
        <v>10</v>
      </c>
      <c r="D86" s="9" t="n">
        <v>20.3</v>
      </c>
      <c r="E86" s="9" t="n">
        <v>48</v>
      </c>
      <c r="F86" s="10" t="n">
        <v>16.5</v>
      </c>
      <c r="G86" s="10" t="n">
        <v>22.3</v>
      </c>
    </row>
    <row r="87" customFormat="false" ht="15.75" hidden="false" customHeight="false" outlineLevel="0" collapsed="false">
      <c r="A87" s="50" t="n">
        <v>45942</v>
      </c>
      <c r="B87" s="7" t="n">
        <v>0.416666666666667</v>
      </c>
      <c r="C87" s="8" t="s">
        <v>8</v>
      </c>
      <c r="D87" s="9" t="n">
        <v>20.3</v>
      </c>
      <c r="E87" s="9" t="n">
        <v>48</v>
      </c>
      <c r="F87" s="10" t="n">
        <v>16.3</v>
      </c>
      <c r="G87" s="10" t="n">
        <v>23.4</v>
      </c>
    </row>
    <row r="88" customFormat="false" ht="15.75" hidden="false" customHeight="false" outlineLevel="0" collapsed="false">
      <c r="A88" s="50" t="n">
        <v>45942</v>
      </c>
      <c r="B88" s="7" t="n">
        <v>0.416666666666667</v>
      </c>
      <c r="C88" s="8" t="s">
        <v>9</v>
      </c>
      <c r="D88" s="9" t="n">
        <v>20.3</v>
      </c>
      <c r="E88" s="9" t="n">
        <v>48</v>
      </c>
      <c r="F88" s="10" t="n">
        <v>16.8</v>
      </c>
      <c r="G88" s="10" t="n">
        <v>23.6</v>
      </c>
    </row>
    <row r="89" customFormat="false" ht="15.75" hidden="false" customHeight="false" outlineLevel="0" collapsed="false">
      <c r="A89" s="50" t="n">
        <v>45942</v>
      </c>
      <c r="B89" s="7" t="n">
        <v>0.5</v>
      </c>
      <c r="C89" s="8" t="s">
        <v>10</v>
      </c>
      <c r="D89" s="9" t="n">
        <v>23.8</v>
      </c>
      <c r="E89" s="9" t="n">
        <v>46</v>
      </c>
      <c r="F89" s="10" t="n">
        <v>15.9</v>
      </c>
      <c r="G89" s="10" t="n">
        <v>31.3</v>
      </c>
    </row>
    <row r="90" customFormat="false" ht="15.75" hidden="false" customHeight="false" outlineLevel="0" collapsed="false">
      <c r="A90" s="50" t="n">
        <v>45942</v>
      </c>
      <c r="B90" s="7" t="n">
        <v>0.5</v>
      </c>
      <c r="C90" s="8" t="s">
        <v>8</v>
      </c>
      <c r="D90" s="9" t="n">
        <v>23.8</v>
      </c>
      <c r="E90" s="9" t="n">
        <v>46</v>
      </c>
      <c r="F90" s="10" t="n">
        <v>15.8</v>
      </c>
      <c r="G90" s="10" t="n">
        <v>31.2</v>
      </c>
    </row>
    <row r="91" customFormat="false" ht="15.75" hidden="false" customHeight="false" outlineLevel="0" collapsed="false">
      <c r="A91" s="50" t="n">
        <v>45942</v>
      </c>
      <c r="B91" s="7" t="n">
        <v>0.5</v>
      </c>
      <c r="C91" s="8" t="s">
        <v>9</v>
      </c>
      <c r="D91" s="9" t="n">
        <v>23.8</v>
      </c>
      <c r="E91" s="9" t="n">
        <v>46</v>
      </c>
      <c r="F91" s="10" t="n">
        <v>15.8</v>
      </c>
      <c r="G91" s="10" t="n">
        <v>32.2</v>
      </c>
    </row>
    <row r="92" customFormat="false" ht="15.75" hidden="false" customHeight="false" outlineLevel="0" collapsed="false">
      <c r="A92" s="50" t="n">
        <v>45942</v>
      </c>
      <c r="B92" s="7" t="n">
        <v>0.583333333333333</v>
      </c>
      <c r="C92" s="8" t="s">
        <v>10</v>
      </c>
      <c r="D92" s="9" t="n">
        <v>28.9</v>
      </c>
      <c r="E92" s="9" t="n">
        <v>64</v>
      </c>
      <c r="F92" s="10" t="n">
        <v>15.1</v>
      </c>
      <c r="G92" s="10" t="n">
        <v>21.8</v>
      </c>
    </row>
    <row r="93" customFormat="false" ht="15.75" hidden="false" customHeight="false" outlineLevel="0" collapsed="false">
      <c r="A93" s="50" t="n">
        <v>45942</v>
      </c>
      <c r="B93" s="7" t="n">
        <v>0.583333333333333</v>
      </c>
      <c r="C93" s="8" t="s">
        <v>8</v>
      </c>
      <c r="D93" s="9" t="n">
        <v>28.9</v>
      </c>
      <c r="E93" s="9" t="n">
        <v>64</v>
      </c>
      <c r="F93" s="10" t="n">
        <v>13.1</v>
      </c>
      <c r="G93" s="10" t="n">
        <v>21.4</v>
      </c>
    </row>
    <row r="94" customFormat="false" ht="15.75" hidden="false" customHeight="false" outlineLevel="0" collapsed="false">
      <c r="A94" s="50" t="n">
        <v>45942</v>
      </c>
      <c r="B94" s="7" t="n">
        <v>0.583333333333333</v>
      </c>
      <c r="C94" s="8" t="s">
        <v>9</v>
      </c>
      <c r="D94" s="9" t="n">
        <v>28.9</v>
      </c>
      <c r="E94" s="9" t="n">
        <v>64</v>
      </c>
      <c r="F94" s="10" t="n">
        <v>13.1</v>
      </c>
      <c r="G94" s="10" t="n">
        <v>21.4</v>
      </c>
    </row>
    <row r="95" customFormat="false" ht="15.75" hidden="false" customHeight="false" outlineLevel="0" collapsed="false">
      <c r="A95" s="50" t="n">
        <v>45942</v>
      </c>
      <c r="B95" s="7" t="n">
        <v>0.666666666666667</v>
      </c>
      <c r="C95" s="8" t="s">
        <v>10</v>
      </c>
      <c r="D95" s="9" t="n">
        <v>21.9</v>
      </c>
      <c r="E95" s="9" t="n">
        <v>69</v>
      </c>
      <c r="F95" s="10" t="n">
        <v>13.8</v>
      </c>
      <c r="G95" s="10" t="n">
        <v>19.3</v>
      </c>
    </row>
    <row r="96" customFormat="false" ht="15.75" hidden="false" customHeight="false" outlineLevel="0" collapsed="false">
      <c r="A96" s="50" t="n">
        <v>45942</v>
      </c>
      <c r="B96" s="7" t="n">
        <v>0.666666666666667</v>
      </c>
      <c r="C96" s="8" t="s">
        <v>8</v>
      </c>
      <c r="D96" s="9" t="n">
        <v>21.9</v>
      </c>
      <c r="E96" s="9" t="n">
        <v>69</v>
      </c>
      <c r="F96" s="10" t="n">
        <v>13.8</v>
      </c>
      <c r="G96" s="10" t="n">
        <v>19.3</v>
      </c>
    </row>
    <row r="97" customFormat="false" ht="15.75" hidden="false" customHeight="false" outlineLevel="0" collapsed="false">
      <c r="A97" s="50" t="n">
        <v>45942</v>
      </c>
      <c r="B97" s="7" t="n">
        <v>0.666666666666667</v>
      </c>
      <c r="C97" s="8" t="s">
        <v>9</v>
      </c>
      <c r="D97" s="9" t="n">
        <v>21.9</v>
      </c>
      <c r="E97" s="9" t="n">
        <v>69</v>
      </c>
      <c r="F97" s="10" t="n">
        <v>13.8</v>
      </c>
      <c r="G97" s="10" t="n">
        <v>19.3</v>
      </c>
    </row>
    <row r="98" customFormat="false" ht="15.75" hidden="false" customHeight="false" outlineLevel="0" collapsed="false">
      <c r="A98" s="50" t="n">
        <v>45942</v>
      </c>
      <c r="B98" s="7" t="n">
        <v>0.75</v>
      </c>
      <c r="C98" s="8" t="s">
        <v>10</v>
      </c>
      <c r="D98" s="9" t="n">
        <v>18.8</v>
      </c>
      <c r="E98" s="9" t="n">
        <v>78</v>
      </c>
      <c r="F98" s="10" t="n">
        <v>14.2</v>
      </c>
      <c r="G98" s="10" t="n">
        <v>18.1</v>
      </c>
    </row>
    <row r="99" customFormat="false" ht="15.75" hidden="false" customHeight="false" outlineLevel="0" collapsed="false">
      <c r="A99" s="50" t="n">
        <v>45942</v>
      </c>
      <c r="B99" s="7" t="n">
        <v>0.75</v>
      </c>
      <c r="C99" s="8" t="s">
        <v>8</v>
      </c>
      <c r="D99" s="9" t="n">
        <v>18.8</v>
      </c>
      <c r="E99" s="9" t="n">
        <v>78</v>
      </c>
      <c r="F99" s="10" t="n">
        <v>14.1</v>
      </c>
      <c r="G99" s="10" t="n">
        <v>18.1</v>
      </c>
    </row>
    <row r="100" customFormat="false" ht="15.75" hidden="false" customHeight="false" outlineLevel="0" collapsed="false">
      <c r="A100" s="50" t="n">
        <v>45942</v>
      </c>
      <c r="B100" s="7" t="n">
        <v>0.75</v>
      </c>
      <c r="C100" s="8" t="s">
        <v>9</v>
      </c>
      <c r="D100" s="9" t="n">
        <v>18.8</v>
      </c>
      <c r="E100" s="9" t="n">
        <v>78</v>
      </c>
      <c r="F100" s="10" t="n">
        <v>14.1</v>
      </c>
      <c r="G100" s="10" t="n">
        <v>18.1</v>
      </c>
    </row>
    <row r="101" customFormat="false" ht="15.75" hidden="false" customHeight="false" outlineLevel="0" collapsed="false">
      <c r="A101" s="51" t="n">
        <v>45943</v>
      </c>
      <c r="B101" s="7" t="n">
        <v>0.333333333333333</v>
      </c>
      <c r="C101" s="8" t="s">
        <v>10</v>
      </c>
      <c r="D101" s="9" t="n">
        <v>19.2</v>
      </c>
      <c r="E101" s="9" t="n">
        <v>83</v>
      </c>
      <c r="F101" s="10" t="n">
        <v>15.8</v>
      </c>
      <c r="G101" s="10" t="n">
        <v>19.2</v>
      </c>
    </row>
    <row r="102" customFormat="false" ht="15.75" hidden="false" customHeight="false" outlineLevel="0" collapsed="false">
      <c r="A102" s="51" t="n">
        <v>45943</v>
      </c>
      <c r="B102" s="7" t="n">
        <v>0.333333333333333</v>
      </c>
      <c r="C102" s="8" t="s">
        <v>8</v>
      </c>
      <c r="D102" s="9" t="n">
        <v>19.2</v>
      </c>
      <c r="E102" s="9" t="n">
        <v>83</v>
      </c>
      <c r="F102" s="10" t="n">
        <v>15.8</v>
      </c>
      <c r="G102" s="10" t="n">
        <v>19.2</v>
      </c>
    </row>
    <row r="103" customFormat="false" ht="15.75" hidden="false" customHeight="false" outlineLevel="0" collapsed="false">
      <c r="A103" s="51" t="n">
        <v>45943</v>
      </c>
      <c r="B103" s="7" t="n">
        <v>0.333333333333333</v>
      </c>
      <c r="C103" s="8" t="s">
        <v>9</v>
      </c>
      <c r="D103" s="9" t="n">
        <v>19.2</v>
      </c>
      <c r="E103" s="9" t="n">
        <v>83</v>
      </c>
      <c r="F103" s="10" t="n">
        <v>15.8</v>
      </c>
      <c r="G103" s="10" t="n">
        <v>19.2</v>
      </c>
    </row>
    <row r="104" customFormat="false" ht="15.75" hidden="false" customHeight="false" outlineLevel="0" collapsed="false">
      <c r="A104" s="51" t="n">
        <v>45943</v>
      </c>
      <c r="B104" s="7" t="n">
        <v>0.416666666666667</v>
      </c>
      <c r="C104" s="8" t="s">
        <v>10</v>
      </c>
      <c r="D104" s="9" t="n">
        <v>21.8</v>
      </c>
      <c r="E104" s="9" t="n">
        <v>67</v>
      </c>
      <c r="F104" s="10" t="n">
        <v>13.1</v>
      </c>
      <c r="G104" s="10" t="n">
        <v>24.5</v>
      </c>
    </row>
    <row r="105" customFormat="false" ht="15.75" hidden="false" customHeight="false" outlineLevel="0" collapsed="false">
      <c r="A105" s="51" t="n">
        <v>45943</v>
      </c>
      <c r="B105" s="7" t="n">
        <v>0.416666666666667</v>
      </c>
      <c r="C105" s="8" t="s">
        <v>8</v>
      </c>
      <c r="D105" s="9" t="n">
        <v>21.8</v>
      </c>
      <c r="E105" s="9" t="n">
        <v>67</v>
      </c>
      <c r="F105" s="10" t="n">
        <v>13.1</v>
      </c>
      <c r="G105" s="10" t="n">
        <v>24.5</v>
      </c>
    </row>
    <row r="106" customFormat="false" ht="15.75" hidden="false" customHeight="false" outlineLevel="0" collapsed="false">
      <c r="A106" s="51" t="n">
        <v>45943</v>
      </c>
      <c r="B106" s="7" t="n">
        <v>0.416666666666667</v>
      </c>
      <c r="C106" s="8" t="s">
        <v>9</v>
      </c>
      <c r="D106" s="9" t="n">
        <v>21.8</v>
      </c>
      <c r="E106" s="9" t="n">
        <v>67</v>
      </c>
      <c r="F106" s="10" t="n">
        <v>13.1</v>
      </c>
      <c r="G106" s="10" t="n">
        <v>24.5</v>
      </c>
    </row>
    <row r="107" customFormat="false" ht="15.75" hidden="false" customHeight="false" outlineLevel="0" collapsed="false">
      <c r="A107" s="51" t="n">
        <v>45943</v>
      </c>
      <c r="B107" s="7" t="n">
        <v>0.5</v>
      </c>
      <c r="C107" s="8" t="s">
        <v>10</v>
      </c>
      <c r="D107" s="9" t="n">
        <v>27.2</v>
      </c>
      <c r="E107" s="9" t="n">
        <v>49</v>
      </c>
      <c r="F107" s="10" t="n">
        <v>11.6</v>
      </c>
      <c r="G107" s="10" t="n">
        <v>31.5</v>
      </c>
    </row>
    <row r="108" customFormat="false" ht="15.75" hidden="false" customHeight="false" outlineLevel="0" collapsed="false">
      <c r="A108" s="51" t="n">
        <v>45943</v>
      </c>
      <c r="B108" s="7" t="n">
        <v>0.5</v>
      </c>
      <c r="C108" s="8" t="s">
        <v>8</v>
      </c>
      <c r="D108" s="9" t="n">
        <v>27.2</v>
      </c>
      <c r="E108" s="9" t="n">
        <v>49</v>
      </c>
      <c r="F108" s="10" t="n">
        <v>11.6</v>
      </c>
      <c r="G108" s="10" t="n">
        <v>31.5</v>
      </c>
    </row>
    <row r="109" customFormat="false" ht="15.75" hidden="false" customHeight="false" outlineLevel="0" collapsed="false">
      <c r="A109" s="51" t="n">
        <v>45943</v>
      </c>
      <c r="B109" s="7" t="n">
        <v>0.5</v>
      </c>
      <c r="C109" s="8" t="s">
        <v>9</v>
      </c>
      <c r="D109" s="9" t="n">
        <v>27.2</v>
      </c>
      <c r="E109" s="9" t="n">
        <v>49</v>
      </c>
      <c r="F109" s="10" t="n">
        <v>11.6</v>
      </c>
      <c r="G109" s="10" t="n">
        <v>31.5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H2" activeCellId="0" sqref="H2"/>
    </sheetView>
  </sheetViews>
  <sheetFormatPr defaultColWidth="12.660156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  <col collapsed="false" customWidth="true" hidden="false" outlineLevel="0" max="8" min="8" style="2" width="24.34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9" t="s">
        <v>11</v>
      </c>
    </row>
    <row r="2" customFormat="false" ht="15.75" hidden="false" customHeight="false" outlineLevel="0" collapsed="false">
      <c r="A2" s="50" t="n">
        <v>45937</v>
      </c>
      <c r="B2" s="7" t="n">
        <v>0.583333333333333</v>
      </c>
      <c r="C2" s="8" t="s">
        <v>7</v>
      </c>
      <c r="D2" s="33" t="n">
        <v>37.1</v>
      </c>
      <c r="E2" s="52" t="n">
        <v>28.2</v>
      </c>
      <c r="F2" s="38" t="n">
        <v>38.2</v>
      </c>
      <c r="G2" s="33" t="n">
        <v>34.3</v>
      </c>
      <c r="H2" s="34" t="n">
        <f aca="false">-0.002*F2*F2+0.142*F2+20.494</f>
        <v>22.99992</v>
      </c>
    </row>
    <row r="3" customFormat="false" ht="15.75" hidden="false" customHeight="false" outlineLevel="0" collapsed="false">
      <c r="A3" s="50" t="n">
        <v>45937</v>
      </c>
      <c r="B3" s="7" t="n">
        <v>0.583333333333333</v>
      </c>
      <c r="C3" s="8" t="s">
        <v>8</v>
      </c>
      <c r="D3" s="33" t="n">
        <v>37.1</v>
      </c>
      <c r="E3" s="52" t="n">
        <v>28.2</v>
      </c>
      <c r="F3" s="38" t="n">
        <v>38.7</v>
      </c>
      <c r="G3" s="33" t="n">
        <v>24.5</v>
      </c>
      <c r="H3" s="34" t="n">
        <f aca="false">-0.002*F3*F3+0.142*F3+20.494</f>
        <v>22.99402</v>
      </c>
    </row>
    <row r="4" customFormat="false" ht="15.75" hidden="false" customHeight="false" outlineLevel="0" collapsed="false">
      <c r="A4" s="50" t="n">
        <v>45937</v>
      </c>
      <c r="B4" s="7" t="n">
        <v>0.583333333333333</v>
      </c>
      <c r="C4" s="8" t="s">
        <v>9</v>
      </c>
      <c r="D4" s="33" t="n">
        <v>37.1</v>
      </c>
      <c r="E4" s="52" t="n">
        <v>28.2</v>
      </c>
      <c r="F4" s="38" t="n">
        <v>36.9</v>
      </c>
      <c r="G4" s="33" t="n">
        <v>28.3</v>
      </c>
      <c r="H4" s="34" t="n">
        <f aca="false">-0.002*F4*F4+0.142*F4+20.494</f>
        <v>23.01058</v>
      </c>
    </row>
    <row r="5" customFormat="false" ht="15.75" hidden="false" customHeight="false" outlineLevel="0" collapsed="false">
      <c r="A5" s="50" t="n">
        <v>45937</v>
      </c>
      <c r="B5" s="7" t="n">
        <v>0.666666666666667</v>
      </c>
      <c r="C5" s="8" t="s">
        <v>10</v>
      </c>
      <c r="D5" s="33" t="n">
        <v>30.5</v>
      </c>
      <c r="E5" s="33" t="n">
        <v>42</v>
      </c>
      <c r="F5" s="38" t="n">
        <v>45</v>
      </c>
      <c r="G5" s="33" t="n">
        <v>28.9</v>
      </c>
      <c r="H5" s="34" t="n">
        <f aca="false">-0.002*F5*F5+0.142*F5+20.494</f>
        <v>22.834</v>
      </c>
    </row>
    <row r="6" customFormat="false" ht="15.75" hidden="false" customHeight="false" outlineLevel="0" collapsed="false">
      <c r="A6" s="50" t="n">
        <v>45937</v>
      </c>
      <c r="B6" s="7" t="n">
        <v>0.666666666666667</v>
      </c>
      <c r="C6" s="8" t="s">
        <v>8</v>
      </c>
      <c r="D6" s="33" t="n">
        <v>30.5</v>
      </c>
      <c r="E6" s="33" t="n">
        <v>42</v>
      </c>
      <c r="F6" s="38" t="n">
        <v>38.4</v>
      </c>
      <c r="G6" s="33" t="n">
        <v>29.6</v>
      </c>
      <c r="H6" s="34" t="n">
        <f aca="false">-0.002*F6*F6+0.142*F6+20.494</f>
        <v>22.99768</v>
      </c>
    </row>
    <row r="7" customFormat="false" ht="15.75" hidden="false" customHeight="false" outlineLevel="0" collapsed="false">
      <c r="A7" s="50" t="n">
        <v>45937</v>
      </c>
      <c r="B7" s="7" t="n">
        <v>0.666666666666667</v>
      </c>
      <c r="C7" s="8" t="s">
        <v>9</v>
      </c>
      <c r="D7" s="33" t="n">
        <v>30.5</v>
      </c>
      <c r="E7" s="33" t="n">
        <v>42</v>
      </c>
      <c r="F7" s="38" t="n">
        <v>39.6</v>
      </c>
      <c r="G7" s="33" t="n">
        <v>30.5</v>
      </c>
      <c r="H7" s="34" t="n">
        <f aca="false">-0.002*F7*F7+0.142*F7+20.494</f>
        <v>22.98088</v>
      </c>
    </row>
    <row r="8" customFormat="false" ht="15.75" hidden="false" customHeight="false" outlineLevel="0" collapsed="false">
      <c r="A8" s="50" t="n">
        <v>45937</v>
      </c>
      <c r="B8" s="7" t="n">
        <v>0.75</v>
      </c>
      <c r="C8" s="8" t="s">
        <v>10</v>
      </c>
      <c r="D8" s="33" t="n">
        <v>24.4</v>
      </c>
      <c r="E8" s="52" t="n">
        <v>48</v>
      </c>
      <c r="F8" s="33" t="n">
        <v>46.8</v>
      </c>
      <c r="G8" s="33" t="n">
        <v>26.7</v>
      </c>
      <c r="H8" s="34" t="n">
        <f aca="false">-0.002*F8*F8+0.142*F8+20.494</f>
        <v>22.75912</v>
      </c>
    </row>
    <row r="9" customFormat="false" ht="15.75" hidden="false" customHeight="false" outlineLevel="0" collapsed="false">
      <c r="A9" s="50" t="n">
        <v>45937</v>
      </c>
      <c r="B9" s="7" t="n">
        <v>0.75</v>
      </c>
      <c r="C9" s="8" t="s">
        <v>8</v>
      </c>
      <c r="D9" s="33" t="n">
        <v>24.4</v>
      </c>
      <c r="E9" s="52" t="n">
        <v>48</v>
      </c>
      <c r="F9" s="33" t="n">
        <v>61</v>
      </c>
      <c r="G9" s="33" t="n">
        <v>27.6</v>
      </c>
      <c r="H9" s="34" t="n">
        <f aca="false">-0.002*F9*F9+0.142*F9+20.494</f>
        <v>21.714</v>
      </c>
    </row>
    <row r="10" customFormat="false" ht="15.75" hidden="false" customHeight="false" outlineLevel="0" collapsed="false">
      <c r="A10" s="50" t="n">
        <v>45937</v>
      </c>
      <c r="B10" s="7" t="n">
        <v>0.75</v>
      </c>
      <c r="C10" s="8" t="s">
        <v>9</v>
      </c>
      <c r="D10" s="33" t="n">
        <v>24.4</v>
      </c>
      <c r="E10" s="52" t="n">
        <v>48</v>
      </c>
      <c r="F10" s="33" t="n">
        <v>55.6</v>
      </c>
      <c r="G10" s="33" t="n">
        <v>28.7</v>
      </c>
      <c r="H10" s="34" t="n">
        <f aca="false">-0.002*F10*F10+0.142*F10+20.494</f>
        <v>22.20648</v>
      </c>
    </row>
    <row r="11" customFormat="false" ht="15.75" hidden="false" customHeight="false" outlineLevel="0" collapsed="false">
      <c r="A11" s="50" t="n">
        <v>45938</v>
      </c>
      <c r="B11" s="7" t="n">
        <v>0.333333333333333</v>
      </c>
      <c r="C11" s="8" t="s">
        <v>10</v>
      </c>
      <c r="D11" s="33" t="n">
        <v>25.3</v>
      </c>
      <c r="E11" s="33" t="n">
        <v>45.3</v>
      </c>
      <c r="F11" s="38" t="n">
        <v>43.2</v>
      </c>
      <c r="G11" s="38" t="n">
        <v>26.7</v>
      </c>
      <c r="H11" s="34" t="n">
        <f aca="false">-0.002*F11*F11+0.142*F11+20.494</f>
        <v>22.89592</v>
      </c>
    </row>
    <row r="12" customFormat="false" ht="15.75" hidden="false" customHeight="false" outlineLevel="0" collapsed="false">
      <c r="A12" s="50" t="n">
        <v>45938</v>
      </c>
      <c r="B12" s="7" t="n">
        <v>0.333333333333333</v>
      </c>
      <c r="C12" s="8" t="s">
        <v>8</v>
      </c>
      <c r="D12" s="33" t="n">
        <v>25.3</v>
      </c>
      <c r="E12" s="33" t="n">
        <v>45.3</v>
      </c>
      <c r="F12" s="38" t="n">
        <v>44.1</v>
      </c>
      <c r="G12" s="38" t="n">
        <v>26.8</v>
      </c>
      <c r="H12" s="34" t="n">
        <f aca="false">-0.002*F12*F12+0.142*F12+20.494</f>
        <v>22.86658</v>
      </c>
    </row>
    <row r="13" customFormat="false" ht="15.75" hidden="false" customHeight="false" outlineLevel="0" collapsed="false">
      <c r="A13" s="50" t="n">
        <v>45938</v>
      </c>
      <c r="B13" s="7" t="n">
        <v>0.333333333333333</v>
      </c>
      <c r="C13" s="8" t="s">
        <v>9</v>
      </c>
      <c r="D13" s="33" t="n">
        <v>25.3</v>
      </c>
      <c r="E13" s="33" t="n">
        <v>45.3</v>
      </c>
      <c r="F13" s="38" t="n">
        <v>44</v>
      </c>
      <c r="G13" s="38" t="n">
        <v>27.2</v>
      </c>
      <c r="H13" s="34" t="n">
        <f aca="false">-0.002*F13*F13+0.142*F13+20.494</f>
        <v>22.87</v>
      </c>
    </row>
    <row r="14" customFormat="false" ht="15.75" hidden="false" customHeight="false" outlineLevel="0" collapsed="false">
      <c r="A14" s="50" t="n">
        <v>45938</v>
      </c>
      <c r="B14" s="7" t="n">
        <v>0.416666666666667</v>
      </c>
      <c r="C14" s="8" t="s">
        <v>10</v>
      </c>
      <c r="D14" s="33" t="n">
        <v>23.4</v>
      </c>
      <c r="E14" s="33" t="n">
        <v>48.9</v>
      </c>
      <c r="F14" s="38" t="n">
        <v>49.1</v>
      </c>
      <c r="G14" s="38" t="n">
        <v>26.3</v>
      </c>
      <c r="H14" s="34" t="n">
        <f aca="false">-0.002*F14*F14+0.142*F14+20.494</f>
        <v>22.64458</v>
      </c>
    </row>
    <row r="15" customFormat="false" ht="15.75" hidden="false" customHeight="false" outlineLevel="0" collapsed="false">
      <c r="A15" s="50" t="n">
        <v>45938</v>
      </c>
      <c r="B15" s="7" t="n">
        <v>0.416666666666667</v>
      </c>
      <c r="C15" s="8" t="s">
        <v>8</v>
      </c>
      <c r="D15" s="33" t="n">
        <v>23.4</v>
      </c>
      <c r="E15" s="33" t="n">
        <v>48.9</v>
      </c>
      <c r="F15" s="38" t="n">
        <v>39.2</v>
      </c>
      <c r="G15" s="38" t="n">
        <v>26.4</v>
      </c>
      <c r="H15" s="34" t="n">
        <f aca="false">-0.002*F15*F15+0.142*F15+20.494</f>
        <v>22.98712</v>
      </c>
    </row>
    <row r="16" customFormat="false" ht="15.75" hidden="false" customHeight="false" outlineLevel="0" collapsed="false">
      <c r="A16" s="50" t="n">
        <v>45938</v>
      </c>
      <c r="B16" s="7" t="n">
        <v>0.416666666666667</v>
      </c>
      <c r="C16" s="8" t="s">
        <v>9</v>
      </c>
      <c r="D16" s="33" t="n">
        <v>23.4</v>
      </c>
      <c r="E16" s="33" t="n">
        <v>48.9</v>
      </c>
      <c r="F16" s="38" t="n">
        <v>37.7</v>
      </c>
      <c r="G16" s="38" t="n">
        <v>26.5</v>
      </c>
      <c r="H16" s="34" t="n">
        <f aca="false">-0.002*F16*F16+0.142*F16+20.494</f>
        <v>23.00482</v>
      </c>
    </row>
    <row r="17" customFormat="false" ht="15.75" hidden="false" customHeight="false" outlineLevel="0" collapsed="false">
      <c r="A17" s="50" t="n">
        <v>45938</v>
      </c>
      <c r="B17" s="7" t="n">
        <v>0.5</v>
      </c>
      <c r="C17" s="8" t="s">
        <v>10</v>
      </c>
      <c r="D17" s="33" t="n">
        <v>25.5</v>
      </c>
      <c r="E17" s="33" t="n">
        <v>42.1</v>
      </c>
      <c r="F17" s="38" t="n">
        <v>39.3</v>
      </c>
      <c r="G17" s="38" t="n">
        <v>26.1</v>
      </c>
      <c r="H17" s="34" t="n">
        <f aca="false">-0.002*F17*F17+0.142*F17+20.494</f>
        <v>22.98562</v>
      </c>
    </row>
    <row r="18" customFormat="false" ht="15.75" hidden="false" customHeight="false" outlineLevel="0" collapsed="false">
      <c r="A18" s="50" t="n">
        <v>45938</v>
      </c>
      <c r="B18" s="7" t="n">
        <v>0.5</v>
      </c>
      <c r="C18" s="8" t="s">
        <v>8</v>
      </c>
      <c r="D18" s="33" t="n">
        <v>25.5</v>
      </c>
      <c r="E18" s="33" t="n">
        <v>42.1</v>
      </c>
      <c r="F18" s="38" t="n">
        <v>39.8</v>
      </c>
      <c r="G18" s="38" t="n">
        <v>26.1</v>
      </c>
      <c r="H18" s="34" t="n">
        <f aca="false">-0.002*F18*F18+0.142*F18+20.494</f>
        <v>22.97752</v>
      </c>
    </row>
    <row r="19" customFormat="false" ht="15.75" hidden="false" customHeight="false" outlineLevel="0" collapsed="false">
      <c r="A19" s="50" t="n">
        <v>45938</v>
      </c>
      <c r="B19" s="7" t="n">
        <v>0.5</v>
      </c>
      <c r="C19" s="8" t="s">
        <v>9</v>
      </c>
      <c r="D19" s="33" t="n">
        <v>25.5</v>
      </c>
      <c r="E19" s="33" t="n">
        <v>42.1</v>
      </c>
      <c r="F19" s="38" t="n">
        <v>39.4</v>
      </c>
      <c r="G19" s="38" t="n">
        <v>26.3</v>
      </c>
      <c r="H19" s="34" t="n">
        <f aca="false">-0.002*F19*F19+0.142*F19+20.494</f>
        <v>22.98408</v>
      </c>
    </row>
    <row r="20" customFormat="false" ht="15.75" hidden="false" customHeight="false" outlineLevel="0" collapsed="false">
      <c r="A20" s="50" t="n">
        <v>45938</v>
      </c>
      <c r="B20" s="7" t="n">
        <v>0.583333333333333</v>
      </c>
      <c r="C20" s="8" t="s">
        <v>10</v>
      </c>
      <c r="D20" s="33" t="n">
        <v>24</v>
      </c>
      <c r="E20" s="33" t="n">
        <v>52.2</v>
      </c>
      <c r="F20" s="33" t="n">
        <v>48.3</v>
      </c>
      <c r="G20" s="33" t="n">
        <v>20.4</v>
      </c>
      <c r="H20" s="34" t="n">
        <f aca="false">-0.002*F20*F20+0.142*F20+20.494</f>
        <v>22.68682</v>
      </c>
    </row>
    <row r="21" customFormat="false" ht="15.75" hidden="false" customHeight="false" outlineLevel="0" collapsed="false">
      <c r="A21" s="50" t="n">
        <v>45938</v>
      </c>
      <c r="B21" s="7" t="n">
        <v>0.583333333333333</v>
      </c>
      <c r="C21" s="8" t="s">
        <v>8</v>
      </c>
      <c r="D21" s="33" t="n">
        <v>24</v>
      </c>
      <c r="E21" s="33" t="n">
        <v>52.2</v>
      </c>
      <c r="F21" s="33" t="n">
        <v>48.4</v>
      </c>
      <c r="G21" s="33" t="n">
        <v>24.1</v>
      </c>
      <c r="H21" s="34" t="n">
        <f aca="false">-0.002*F21*F21+0.142*F21+20.494</f>
        <v>22.68168</v>
      </c>
    </row>
    <row r="22" customFormat="false" ht="15.75" hidden="false" customHeight="false" outlineLevel="0" collapsed="false">
      <c r="A22" s="50" t="n">
        <v>45938</v>
      </c>
      <c r="B22" s="7" t="n">
        <v>0.583333333333333</v>
      </c>
      <c r="C22" s="8" t="s">
        <v>9</v>
      </c>
      <c r="D22" s="33" t="n">
        <v>24</v>
      </c>
      <c r="E22" s="33" t="n">
        <v>52.2</v>
      </c>
      <c r="F22" s="33" t="n">
        <v>48.7</v>
      </c>
      <c r="G22" s="33" t="n">
        <v>24.2</v>
      </c>
      <c r="H22" s="34" t="n">
        <f aca="false">-0.002*F22*F22+0.142*F22+20.494</f>
        <v>22.66602</v>
      </c>
    </row>
    <row r="23" customFormat="false" ht="15.75" hidden="false" customHeight="false" outlineLevel="0" collapsed="false">
      <c r="A23" s="50" t="n">
        <v>45938</v>
      </c>
      <c r="B23" s="7" t="n">
        <v>0.666666666666667</v>
      </c>
      <c r="C23" s="8" t="s">
        <v>10</v>
      </c>
      <c r="D23" s="33" t="n">
        <v>23.8</v>
      </c>
      <c r="E23" s="33" t="n">
        <v>51.5</v>
      </c>
      <c r="F23" s="33" t="n">
        <v>69</v>
      </c>
      <c r="G23" s="33" t="n">
        <v>23.7</v>
      </c>
      <c r="H23" s="34" t="n">
        <f aca="false">-0.002*F23*F23+0.142*F23+20.494</f>
        <v>20.77</v>
      </c>
    </row>
    <row r="24" customFormat="false" ht="15.75" hidden="false" customHeight="false" outlineLevel="0" collapsed="false">
      <c r="A24" s="50" t="n">
        <v>45938</v>
      </c>
      <c r="B24" s="7" t="n">
        <v>0.666666666666667</v>
      </c>
      <c r="C24" s="8" t="s">
        <v>8</v>
      </c>
      <c r="D24" s="33" t="n">
        <v>23.8</v>
      </c>
      <c r="E24" s="33" t="n">
        <v>51.5</v>
      </c>
      <c r="F24" s="33" t="n">
        <v>70</v>
      </c>
      <c r="G24" s="33" t="n">
        <v>23.7</v>
      </c>
      <c r="H24" s="34" t="n">
        <f aca="false">-0.002*F24*F24+0.142*F24+20.494</f>
        <v>20.634</v>
      </c>
    </row>
    <row r="25" customFormat="false" ht="15.75" hidden="false" customHeight="false" outlineLevel="0" collapsed="false">
      <c r="A25" s="50" t="n">
        <v>45938</v>
      </c>
      <c r="B25" s="7" t="n">
        <v>0.666666666666667</v>
      </c>
      <c r="C25" s="8" t="s">
        <v>9</v>
      </c>
      <c r="D25" s="33" t="n">
        <v>23.8</v>
      </c>
      <c r="E25" s="33" t="n">
        <v>51.5</v>
      </c>
      <c r="F25" s="33" t="n">
        <v>52</v>
      </c>
      <c r="G25" s="33" t="n">
        <v>24.4</v>
      </c>
      <c r="H25" s="34" t="n">
        <f aca="false">-0.002*F25*F25+0.142*F25+20.494</f>
        <v>22.47</v>
      </c>
    </row>
    <row r="26" customFormat="false" ht="15.75" hidden="false" customHeight="false" outlineLevel="0" collapsed="false">
      <c r="A26" s="50" t="n">
        <v>45938</v>
      </c>
      <c r="B26" s="7" t="n">
        <v>0.75</v>
      </c>
      <c r="C26" s="8" t="s">
        <v>10</v>
      </c>
      <c r="D26" s="38" t="n">
        <v>21.3</v>
      </c>
      <c r="E26" s="38" t="n">
        <v>74.3</v>
      </c>
      <c r="F26" s="33" t="n">
        <v>73</v>
      </c>
      <c r="G26" s="33" t="n">
        <v>22</v>
      </c>
      <c r="H26" s="34" t="n">
        <f aca="false">-0.002*F26*F26+0.142*F26+20.494</f>
        <v>20.202</v>
      </c>
    </row>
    <row r="27" customFormat="false" ht="15.75" hidden="false" customHeight="false" outlineLevel="0" collapsed="false">
      <c r="A27" s="50" t="n">
        <v>45938</v>
      </c>
      <c r="B27" s="7" t="n">
        <v>0.75</v>
      </c>
      <c r="C27" s="8" t="s">
        <v>8</v>
      </c>
      <c r="D27" s="38" t="n">
        <v>21.3</v>
      </c>
      <c r="E27" s="38" t="n">
        <v>74.3</v>
      </c>
      <c r="F27" s="33" t="n">
        <v>79</v>
      </c>
      <c r="G27" s="33" t="n">
        <v>22.8</v>
      </c>
      <c r="H27" s="34" t="n">
        <f aca="false">-0.002*F27*F27+0.142*F27+20.494</f>
        <v>19.23</v>
      </c>
    </row>
    <row r="28" customFormat="false" ht="15.75" hidden="false" customHeight="false" outlineLevel="0" collapsed="false">
      <c r="A28" s="50" t="n">
        <v>45938</v>
      </c>
      <c r="B28" s="7" t="n">
        <v>0.75</v>
      </c>
      <c r="C28" s="8" t="s">
        <v>9</v>
      </c>
      <c r="D28" s="38" t="n">
        <v>21.3</v>
      </c>
      <c r="E28" s="38" t="n">
        <v>74.3</v>
      </c>
      <c r="F28" s="33" t="n">
        <v>72.2</v>
      </c>
      <c r="G28" s="33" t="n">
        <v>22.8</v>
      </c>
      <c r="H28" s="34" t="n">
        <f aca="false">-0.002*F28*F28+0.142*F28+20.494</f>
        <v>20.32072</v>
      </c>
    </row>
    <row r="29" customFormat="false" ht="15.75" hidden="false" customHeight="false" outlineLevel="0" collapsed="false">
      <c r="A29" s="50" t="n">
        <v>45939</v>
      </c>
      <c r="B29" s="7" t="n">
        <v>0.333333333333333</v>
      </c>
      <c r="C29" s="8" t="s">
        <v>10</v>
      </c>
      <c r="D29" s="38" t="n">
        <v>33.8</v>
      </c>
      <c r="E29" s="38" t="n">
        <v>35.9</v>
      </c>
      <c r="F29" s="33" t="n">
        <v>49.5</v>
      </c>
      <c r="G29" s="33" t="n">
        <v>29.5</v>
      </c>
      <c r="H29" s="34" t="n">
        <f aca="false">-0.002*F29*F29+0.142*F29+20.494</f>
        <v>22.6225</v>
      </c>
    </row>
    <row r="30" customFormat="false" ht="15.75" hidden="false" customHeight="false" outlineLevel="0" collapsed="false">
      <c r="A30" s="50" t="n">
        <v>45939</v>
      </c>
      <c r="B30" s="7" t="n">
        <v>0.333333333333333</v>
      </c>
      <c r="C30" s="8" t="s">
        <v>8</v>
      </c>
      <c r="D30" s="38" t="n">
        <v>33.8</v>
      </c>
      <c r="E30" s="38" t="n">
        <v>35.9</v>
      </c>
      <c r="F30" s="33" t="n">
        <v>35.6</v>
      </c>
      <c r="G30" s="33" t="n">
        <v>31.8</v>
      </c>
      <c r="H30" s="34" t="n">
        <f aca="false">-0.002*F30*F30+0.142*F30+20.494</f>
        <v>23.01448</v>
      </c>
    </row>
    <row r="31" customFormat="false" ht="15.75" hidden="false" customHeight="false" outlineLevel="0" collapsed="false">
      <c r="A31" s="50" t="n">
        <v>45939</v>
      </c>
      <c r="B31" s="7" t="n">
        <v>0.333333333333333</v>
      </c>
      <c r="C31" s="8" t="s">
        <v>9</v>
      </c>
      <c r="D31" s="38" t="n">
        <v>33.8</v>
      </c>
      <c r="E31" s="38" t="n">
        <v>35.9</v>
      </c>
      <c r="F31" s="38" t="n">
        <v>38.8</v>
      </c>
      <c r="G31" s="33" t="n">
        <v>32.5</v>
      </c>
      <c r="H31" s="34" t="n">
        <f aca="false">-0.002*F31*F31+0.142*F31+20.494</f>
        <v>22.99272</v>
      </c>
    </row>
    <row r="32" customFormat="false" ht="15.75" hidden="false" customHeight="false" outlineLevel="0" collapsed="false">
      <c r="A32" s="50" t="n">
        <v>45939</v>
      </c>
      <c r="B32" s="7" t="n">
        <v>0.416666666666667</v>
      </c>
      <c r="C32" s="8" t="s">
        <v>10</v>
      </c>
      <c r="D32" s="33" t="n">
        <v>32.3</v>
      </c>
      <c r="E32" s="33" t="n">
        <v>31.8</v>
      </c>
      <c r="F32" s="38" t="n">
        <v>22.4</v>
      </c>
      <c r="G32" s="33" t="n">
        <v>39.4</v>
      </c>
      <c r="H32" s="34" t="n">
        <f aca="false">-0.002*F32*F32+0.142*F32+20.494</f>
        <v>22.67128</v>
      </c>
    </row>
    <row r="33" customFormat="false" ht="15.75" hidden="false" customHeight="false" outlineLevel="0" collapsed="false">
      <c r="A33" s="50" t="n">
        <v>45939</v>
      </c>
      <c r="B33" s="7" t="n">
        <v>0.416666666666667</v>
      </c>
      <c r="C33" s="8" t="s">
        <v>8</v>
      </c>
      <c r="D33" s="33" t="n">
        <v>32.3</v>
      </c>
      <c r="E33" s="33" t="n">
        <v>31.8</v>
      </c>
      <c r="F33" s="38" t="n">
        <v>20.7</v>
      </c>
      <c r="G33" s="38" t="n">
        <v>56.7</v>
      </c>
      <c r="H33" s="34" t="n">
        <f aca="false">-0.002*F33*F33+0.142*F33+20.494</f>
        <v>22.57642</v>
      </c>
    </row>
    <row r="34" customFormat="false" ht="15.75" hidden="false" customHeight="false" outlineLevel="0" collapsed="false">
      <c r="A34" s="50" t="n">
        <v>45939</v>
      </c>
      <c r="B34" s="7" t="n">
        <v>0.416666666666667</v>
      </c>
      <c r="C34" s="8" t="s">
        <v>9</v>
      </c>
      <c r="D34" s="33" t="n">
        <v>32.3</v>
      </c>
      <c r="E34" s="33" t="n">
        <v>31.8</v>
      </c>
      <c r="F34" s="38" t="n">
        <v>21.3</v>
      </c>
      <c r="G34" s="38" t="n">
        <v>40</v>
      </c>
      <c r="H34" s="34" t="n">
        <f aca="false">-0.002*F34*F34+0.142*F34+20.494</f>
        <v>22.61122</v>
      </c>
    </row>
    <row r="35" customFormat="false" ht="15.75" hidden="false" customHeight="false" outlineLevel="0" collapsed="false">
      <c r="A35" s="50" t="n">
        <v>45939</v>
      </c>
      <c r="B35" s="7" t="n">
        <v>0.5</v>
      </c>
      <c r="C35" s="8" t="s">
        <v>10</v>
      </c>
      <c r="D35" s="33" t="n">
        <v>28.5</v>
      </c>
      <c r="E35" s="33" t="n">
        <v>35</v>
      </c>
      <c r="F35" s="33" t="n">
        <v>20.2</v>
      </c>
      <c r="G35" s="38" t="n">
        <v>47</v>
      </c>
      <c r="H35" s="34" t="n">
        <f aca="false">-0.002*F35*F35+0.142*F35+20.494</f>
        <v>22.54632</v>
      </c>
    </row>
    <row r="36" customFormat="false" ht="15.75" hidden="false" customHeight="false" outlineLevel="0" collapsed="false">
      <c r="A36" s="50" t="n">
        <v>45939</v>
      </c>
      <c r="B36" s="7" t="n">
        <v>0.5</v>
      </c>
      <c r="C36" s="8" t="s">
        <v>8</v>
      </c>
      <c r="D36" s="33" t="n">
        <v>28.5</v>
      </c>
      <c r="E36" s="33" t="n">
        <v>35</v>
      </c>
      <c r="F36" s="33" t="n">
        <v>19.7</v>
      </c>
      <c r="G36" s="38" t="n">
        <v>43</v>
      </c>
      <c r="H36" s="34" t="n">
        <f aca="false">-0.002*F36*F36+0.142*F36+20.494</f>
        <v>22.51522</v>
      </c>
    </row>
    <row r="37" customFormat="false" ht="15.75" hidden="false" customHeight="false" outlineLevel="0" collapsed="false">
      <c r="A37" s="50" t="n">
        <v>45939</v>
      </c>
      <c r="B37" s="7" t="n">
        <v>0.5</v>
      </c>
      <c r="C37" s="8" t="s">
        <v>9</v>
      </c>
      <c r="D37" s="33" t="n">
        <v>28.5</v>
      </c>
      <c r="E37" s="33" t="n">
        <v>35</v>
      </c>
      <c r="F37" s="33" t="n">
        <v>20.1</v>
      </c>
      <c r="G37" s="38" t="n">
        <v>47</v>
      </c>
      <c r="H37" s="34" t="n">
        <f aca="false">-0.002*F37*F37+0.142*F37+20.494</f>
        <v>22.54018</v>
      </c>
    </row>
    <row r="38" customFormat="false" ht="15.75" hidden="false" customHeight="false" outlineLevel="0" collapsed="false">
      <c r="A38" s="50" t="n">
        <v>45939</v>
      </c>
      <c r="B38" s="7" t="n">
        <v>0.583333333333333</v>
      </c>
      <c r="C38" s="8" t="s">
        <v>10</v>
      </c>
      <c r="D38" s="33" t="n">
        <v>38</v>
      </c>
      <c r="E38" s="33" t="n">
        <v>36</v>
      </c>
      <c r="F38" s="33" t="n">
        <v>22.8</v>
      </c>
      <c r="G38" s="38" t="n">
        <v>44</v>
      </c>
      <c r="H38" s="34" t="n">
        <f aca="false">-0.002*F38*F38+0.142*F38+20.494</f>
        <v>22.69192</v>
      </c>
    </row>
    <row r="39" customFormat="false" ht="15.75" hidden="false" customHeight="false" outlineLevel="0" collapsed="false">
      <c r="A39" s="50" t="n">
        <v>45939</v>
      </c>
      <c r="B39" s="7" t="n">
        <v>0.583333333333333</v>
      </c>
      <c r="C39" s="8" t="s">
        <v>8</v>
      </c>
      <c r="D39" s="33" t="n">
        <v>38</v>
      </c>
      <c r="E39" s="33" t="n">
        <v>36</v>
      </c>
      <c r="F39" s="33" t="n">
        <v>36</v>
      </c>
      <c r="G39" s="38" t="n">
        <v>40</v>
      </c>
      <c r="H39" s="34" t="n">
        <f aca="false">-0.002*F39*F39+0.142*F39+20.494</f>
        <v>23.014</v>
      </c>
    </row>
    <row r="40" customFormat="false" ht="15.75" hidden="false" customHeight="false" outlineLevel="0" collapsed="false">
      <c r="A40" s="50" t="n">
        <v>45939</v>
      </c>
      <c r="B40" s="7" t="n">
        <v>0.583333333333333</v>
      </c>
      <c r="C40" s="8" t="s">
        <v>9</v>
      </c>
      <c r="D40" s="33" t="n">
        <v>38</v>
      </c>
      <c r="E40" s="33" t="n">
        <v>36</v>
      </c>
      <c r="F40" s="33" t="n">
        <v>21</v>
      </c>
      <c r="G40" s="38" t="n">
        <v>44</v>
      </c>
      <c r="H40" s="34" t="n">
        <f aca="false">-0.002*F40*F40+0.142*F40+20.494</f>
        <v>22.594</v>
      </c>
    </row>
    <row r="41" customFormat="false" ht="15.75" hidden="false" customHeight="false" outlineLevel="0" collapsed="false">
      <c r="A41" s="50" t="n">
        <v>45939</v>
      </c>
      <c r="B41" s="7" t="n">
        <v>0.666666666666667</v>
      </c>
      <c r="C41" s="8" t="s">
        <v>10</v>
      </c>
      <c r="D41" s="33" t="n">
        <v>26.4</v>
      </c>
      <c r="E41" s="33" t="n">
        <v>57.1</v>
      </c>
      <c r="F41" s="38" t="n">
        <v>60</v>
      </c>
      <c r="G41" s="38" t="n">
        <v>27.1</v>
      </c>
      <c r="H41" s="34" t="n">
        <f aca="false">-0.002*F41*F41+0.142*F41+20.494</f>
        <v>21.814</v>
      </c>
    </row>
    <row r="42" customFormat="false" ht="15.75" hidden="false" customHeight="false" outlineLevel="0" collapsed="false">
      <c r="A42" s="50" t="n">
        <v>45939</v>
      </c>
      <c r="B42" s="7" t="n">
        <v>0.666666666666667</v>
      </c>
      <c r="C42" s="8" t="s">
        <v>8</v>
      </c>
      <c r="D42" s="33" t="n">
        <v>26.4</v>
      </c>
      <c r="E42" s="33" t="n">
        <v>57.1</v>
      </c>
      <c r="F42" s="38" t="n">
        <v>52</v>
      </c>
      <c r="G42" s="38" t="n">
        <v>27.2</v>
      </c>
      <c r="H42" s="34" t="n">
        <f aca="false">-0.002*F42*F42+0.142*F42+20.494</f>
        <v>22.47</v>
      </c>
    </row>
    <row r="43" customFormat="false" ht="15.75" hidden="false" customHeight="false" outlineLevel="0" collapsed="false">
      <c r="A43" s="50" t="n">
        <v>45939</v>
      </c>
      <c r="B43" s="7" t="n">
        <v>0.666666666666667</v>
      </c>
      <c r="C43" s="8" t="s">
        <v>9</v>
      </c>
      <c r="D43" s="33" t="n">
        <v>26.4</v>
      </c>
      <c r="E43" s="33" t="n">
        <v>57.1</v>
      </c>
      <c r="F43" s="38" t="n">
        <v>53</v>
      </c>
      <c r="G43" s="38" t="n">
        <v>27.5</v>
      </c>
      <c r="H43" s="34" t="n">
        <f aca="false">-0.002*F43*F43+0.142*F43+20.494</f>
        <v>22.402</v>
      </c>
    </row>
    <row r="44" customFormat="false" ht="15.75" hidden="false" customHeight="false" outlineLevel="0" collapsed="false">
      <c r="A44" s="50" t="n">
        <v>45939</v>
      </c>
      <c r="B44" s="7" t="n">
        <v>0.75</v>
      </c>
      <c r="C44" s="8" t="s">
        <v>10</v>
      </c>
      <c r="D44" s="33" t="n">
        <v>24</v>
      </c>
      <c r="E44" s="33" t="n">
        <v>64.8</v>
      </c>
      <c r="F44" s="38" t="n">
        <v>78.8</v>
      </c>
      <c r="G44" s="38" t="n">
        <v>24.9</v>
      </c>
      <c r="H44" s="34" t="n">
        <f aca="false">-0.002*F44*F44+0.142*F44+20.494</f>
        <v>19.26472</v>
      </c>
    </row>
    <row r="45" customFormat="false" ht="15.75" hidden="false" customHeight="false" outlineLevel="0" collapsed="false">
      <c r="A45" s="50" t="n">
        <v>45939</v>
      </c>
      <c r="B45" s="7" t="n">
        <v>0.75</v>
      </c>
      <c r="C45" s="8" t="s">
        <v>8</v>
      </c>
      <c r="D45" s="33" t="n">
        <v>24</v>
      </c>
      <c r="E45" s="33" t="n">
        <v>64.8</v>
      </c>
      <c r="F45" s="38" t="n">
        <v>64.1</v>
      </c>
      <c r="G45" s="38" t="n">
        <v>25</v>
      </c>
      <c r="H45" s="34" t="n">
        <f aca="false">-0.002*F45*F45+0.142*F45+20.494</f>
        <v>21.37858</v>
      </c>
    </row>
    <row r="46" customFormat="false" ht="15.75" hidden="false" customHeight="false" outlineLevel="0" collapsed="false">
      <c r="A46" s="50" t="n">
        <v>45939</v>
      </c>
      <c r="B46" s="7" t="n">
        <v>0.75</v>
      </c>
      <c r="C46" s="8" t="s">
        <v>9</v>
      </c>
      <c r="D46" s="33" t="n">
        <v>24</v>
      </c>
      <c r="E46" s="33" t="n">
        <v>64.8</v>
      </c>
      <c r="F46" s="38" t="n">
        <v>62</v>
      </c>
      <c r="G46" s="38" t="n">
        <v>25.2</v>
      </c>
      <c r="H46" s="34" t="n">
        <f aca="false">-0.002*F46*F46+0.142*F46+20.494</f>
        <v>21.61</v>
      </c>
    </row>
    <row r="47" customFormat="false" ht="15.75" hidden="false" customHeight="false" outlineLevel="0" collapsed="false">
      <c r="A47" s="50" t="n">
        <v>45940</v>
      </c>
      <c r="B47" s="7" t="n">
        <v>0.333333333333333</v>
      </c>
      <c r="C47" s="8" t="s">
        <v>10</v>
      </c>
      <c r="D47" s="33" t="n">
        <v>20.4</v>
      </c>
      <c r="E47" s="33" t="n">
        <v>77.6</v>
      </c>
      <c r="F47" s="38" t="n">
        <v>73.4</v>
      </c>
      <c r="G47" s="38" t="n">
        <v>21</v>
      </c>
      <c r="H47" s="34" t="n">
        <f aca="false">-0.002*F47*F47+0.142*F47+20.494</f>
        <v>20.14168</v>
      </c>
    </row>
    <row r="48" customFormat="false" ht="15.75" hidden="false" customHeight="false" outlineLevel="0" collapsed="false">
      <c r="A48" s="50" t="n">
        <v>45940</v>
      </c>
      <c r="B48" s="7" t="n">
        <v>0.333333333333333</v>
      </c>
      <c r="C48" s="8" t="s">
        <v>8</v>
      </c>
      <c r="D48" s="33" t="n">
        <v>20.4</v>
      </c>
      <c r="E48" s="33" t="n">
        <v>77.6</v>
      </c>
      <c r="F48" s="38" t="n">
        <v>74.5</v>
      </c>
      <c r="G48" s="38" t="n">
        <v>21</v>
      </c>
      <c r="H48" s="34" t="n">
        <f aca="false">-0.002*F48*F48+0.142*F48+20.494</f>
        <v>19.9725</v>
      </c>
    </row>
    <row r="49" customFormat="false" ht="15.75" hidden="false" customHeight="false" outlineLevel="0" collapsed="false">
      <c r="A49" s="50" t="n">
        <v>45940</v>
      </c>
      <c r="B49" s="7" t="n">
        <v>0.333333333333333</v>
      </c>
      <c r="C49" s="8" t="s">
        <v>9</v>
      </c>
      <c r="D49" s="33" t="n">
        <v>20.4</v>
      </c>
      <c r="E49" s="33" t="n">
        <v>77.6</v>
      </c>
      <c r="F49" s="38" t="n">
        <v>73.4</v>
      </c>
      <c r="G49" s="38" t="n">
        <v>21</v>
      </c>
      <c r="H49" s="34" t="n">
        <f aca="false">-0.002*F49*F49+0.142*F49+20.494</f>
        <v>20.14168</v>
      </c>
    </row>
    <row r="50" customFormat="false" ht="15.75" hidden="false" customHeight="false" outlineLevel="0" collapsed="false">
      <c r="A50" s="50" t="n">
        <v>45940</v>
      </c>
      <c r="B50" s="7" t="n">
        <v>0.416666666666667</v>
      </c>
      <c r="C50" s="8" t="s">
        <v>10</v>
      </c>
      <c r="D50" s="38" t="n">
        <v>22</v>
      </c>
      <c r="E50" s="38" t="n">
        <v>76.8</v>
      </c>
      <c r="F50" s="38" t="n">
        <v>72.5</v>
      </c>
      <c r="G50" s="38" t="n">
        <v>22.2</v>
      </c>
      <c r="H50" s="34" t="n">
        <f aca="false">-0.002*F50*F50+0.142*F50+20.494</f>
        <v>20.2765</v>
      </c>
    </row>
    <row r="51" customFormat="false" ht="15.75" hidden="false" customHeight="false" outlineLevel="0" collapsed="false">
      <c r="A51" s="50" t="n">
        <v>45940</v>
      </c>
      <c r="B51" s="7" t="n">
        <v>0.416666666666667</v>
      </c>
      <c r="C51" s="8" t="s">
        <v>8</v>
      </c>
      <c r="D51" s="38" t="n">
        <v>22</v>
      </c>
      <c r="E51" s="38" t="n">
        <v>76.8</v>
      </c>
      <c r="F51" s="38" t="n">
        <v>84.8</v>
      </c>
      <c r="G51" s="38" t="n">
        <v>22.4</v>
      </c>
      <c r="H51" s="34" t="n">
        <f aca="false">-0.002*F51*F51+0.142*F51+20.494</f>
        <v>18.15352</v>
      </c>
    </row>
    <row r="52" customFormat="false" ht="15.75" hidden="false" customHeight="false" outlineLevel="0" collapsed="false">
      <c r="A52" s="50" t="n">
        <v>45940</v>
      </c>
      <c r="B52" s="7" t="n">
        <v>0.416666666666667</v>
      </c>
      <c r="C52" s="8" t="s">
        <v>9</v>
      </c>
      <c r="D52" s="38" t="n">
        <v>22</v>
      </c>
      <c r="E52" s="38" t="n">
        <v>76.8</v>
      </c>
      <c r="F52" s="38" t="n">
        <v>72.6</v>
      </c>
      <c r="G52" s="38" t="n">
        <v>22.2</v>
      </c>
      <c r="H52" s="34" t="n">
        <f aca="false">-0.002*F52*F52+0.142*F52+20.494</f>
        <v>20.26168</v>
      </c>
    </row>
    <row r="53" customFormat="false" ht="15.75" hidden="false" customHeight="false" outlineLevel="0" collapsed="false">
      <c r="A53" s="50" t="n">
        <v>45940</v>
      </c>
      <c r="B53" s="7" t="n">
        <v>0.5</v>
      </c>
      <c r="C53" s="8" t="s">
        <v>10</v>
      </c>
      <c r="D53" s="33" t="n">
        <v>22.2</v>
      </c>
      <c r="E53" s="33" t="n">
        <v>77.9</v>
      </c>
      <c r="F53" s="38" t="n">
        <v>85</v>
      </c>
      <c r="G53" s="38" t="n">
        <v>23.2</v>
      </c>
      <c r="H53" s="34" t="n">
        <f aca="false">-0.002*F53*F53+0.142*F53+20.494</f>
        <v>18.114</v>
      </c>
    </row>
    <row r="54" customFormat="false" ht="15.75" hidden="false" customHeight="false" outlineLevel="0" collapsed="false">
      <c r="A54" s="50" t="n">
        <v>45940</v>
      </c>
      <c r="B54" s="7" t="n">
        <v>0.5</v>
      </c>
      <c r="C54" s="8" t="s">
        <v>8</v>
      </c>
      <c r="D54" s="33" t="n">
        <v>22.2</v>
      </c>
      <c r="E54" s="33" t="n">
        <v>77.9</v>
      </c>
      <c r="F54" s="38" t="n">
        <v>77.6</v>
      </c>
      <c r="G54" s="38" t="n">
        <v>22.4</v>
      </c>
      <c r="H54" s="34" t="n">
        <f aca="false">-0.002*F54*F54+0.142*F54+20.494</f>
        <v>19.46968</v>
      </c>
    </row>
    <row r="55" customFormat="false" ht="15.75" hidden="false" customHeight="false" outlineLevel="0" collapsed="false">
      <c r="A55" s="50" t="n">
        <v>45940</v>
      </c>
      <c r="B55" s="7" t="n">
        <v>0.5</v>
      </c>
      <c r="C55" s="8" t="s">
        <v>9</v>
      </c>
      <c r="D55" s="33" t="n">
        <v>22.2</v>
      </c>
      <c r="E55" s="33" t="n">
        <v>77.9</v>
      </c>
      <c r="F55" s="38" t="n">
        <v>77.7</v>
      </c>
      <c r="G55" s="38" t="n">
        <v>22.4</v>
      </c>
      <c r="H55" s="34" t="n">
        <f aca="false">-0.002*F55*F55+0.142*F55+20.494</f>
        <v>19.45282</v>
      </c>
    </row>
    <row r="56" customFormat="false" ht="15.75" hidden="false" customHeight="false" outlineLevel="0" collapsed="false">
      <c r="A56" s="50" t="n">
        <v>45940</v>
      </c>
      <c r="B56" s="7" t="n">
        <v>0.583333333333333</v>
      </c>
      <c r="C56" s="8" t="s">
        <v>10</v>
      </c>
      <c r="D56" s="33" t="n">
        <v>22</v>
      </c>
      <c r="E56" s="33" t="n">
        <v>76.7</v>
      </c>
      <c r="F56" s="33" t="n">
        <v>75</v>
      </c>
      <c r="G56" s="38" t="n">
        <v>22</v>
      </c>
      <c r="H56" s="34" t="n">
        <f aca="false">-0.002*F56*F56+0.142*F56+20.494</f>
        <v>19.894</v>
      </c>
    </row>
    <row r="57" customFormat="false" ht="15.75" hidden="false" customHeight="false" outlineLevel="0" collapsed="false">
      <c r="A57" s="50" t="n">
        <v>45940</v>
      </c>
      <c r="B57" s="7" t="n">
        <v>0.583333333333333</v>
      </c>
      <c r="C57" s="8" t="s">
        <v>8</v>
      </c>
      <c r="D57" s="33" t="n">
        <v>22</v>
      </c>
      <c r="E57" s="33" t="n">
        <v>76.7</v>
      </c>
      <c r="F57" s="33" t="n">
        <v>77</v>
      </c>
      <c r="G57" s="38" t="n">
        <v>22</v>
      </c>
      <c r="H57" s="34" t="n">
        <f aca="false">-0.002*F57*F57+0.142*F57+20.494</f>
        <v>19.57</v>
      </c>
    </row>
    <row r="58" customFormat="false" ht="15.75" hidden="false" customHeight="false" outlineLevel="0" collapsed="false">
      <c r="A58" s="50" t="n">
        <v>45940</v>
      </c>
      <c r="B58" s="7" t="n">
        <v>0.583333333333333</v>
      </c>
      <c r="C58" s="8" t="s">
        <v>9</v>
      </c>
      <c r="D58" s="33" t="n">
        <v>22</v>
      </c>
      <c r="E58" s="33" t="n">
        <v>76.7</v>
      </c>
      <c r="F58" s="33" t="n">
        <v>90</v>
      </c>
      <c r="G58" s="38" t="n">
        <v>24.8</v>
      </c>
      <c r="H58" s="34" t="n">
        <f aca="false">-0.002*F58*F58+0.142*F58+20.494</f>
        <v>17.074</v>
      </c>
    </row>
    <row r="59" customFormat="false" ht="15.75" hidden="false" customHeight="false" outlineLevel="0" collapsed="false">
      <c r="A59" s="50" t="n">
        <v>45940</v>
      </c>
      <c r="B59" s="7" t="n">
        <v>0.666666666666667</v>
      </c>
      <c r="C59" s="8" t="s">
        <v>10</v>
      </c>
      <c r="D59" s="33" t="n">
        <v>21.4</v>
      </c>
      <c r="E59" s="33" t="n">
        <v>80.4</v>
      </c>
      <c r="F59" s="38" t="n">
        <v>88.6</v>
      </c>
      <c r="G59" s="38" t="n">
        <v>21.5</v>
      </c>
      <c r="H59" s="34" t="n">
        <f aca="false">-0.002*F59*F59+0.142*F59+20.494</f>
        <v>17.37528</v>
      </c>
    </row>
    <row r="60" customFormat="false" ht="15.75" hidden="false" customHeight="false" outlineLevel="0" collapsed="false">
      <c r="A60" s="50" t="n">
        <v>45940</v>
      </c>
      <c r="B60" s="7" t="n">
        <v>0.666666666666667</v>
      </c>
      <c r="C60" s="8" t="s">
        <v>8</v>
      </c>
      <c r="D60" s="33" t="n">
        <v>21.4</v>
      </c>
      <c r="E60" s="33" t="n">
        <v>80.4</v>
      </c>
      <c r="F60" s="38" t="n">
        <v>76.1</v>
      </c>
      <c r="G60" s="38" t="n">
        <v>21.5</v>
      </c>
      <c r="H60" s="34" t="n">
        <f aca="false">-0.002*F60*F60+0.142*F60+20.494</f>
        <v>19.71778</v>
      </c>
    </row>
    <row r="61" customFormat="false" ht="15.75" hidden="false" customHeight="false" outlineLevel="0" collapsed="false">
      <c r="A61" s="50" t="n">
        <v>45940</v>
      </c>
      <c r="B61" s="7" t="n">
        <v>0.666666666666667</v>
      </c>
      <c r="C61" s="8" t="s">
        <v>9</v>
      </c>
      <c r="D61" s="33" t="n">
        <v>21.4</v>
      </c>
      <c r="E61" s="33" t="n">
        <v>80.4</v>
      </c>
      <c r="F61" s="38" t="n">
        <v>89</v>
      </c>
      <c r="G61" s="38" t="n">
        <v>21.5</v>
      </c>
      <c r="H61" s="34" t="n">
        <f aca="false">-0.002*F61*F61+0.142*F61+20.494</f>
        <v>17.29</v>
      </c>
    </row>
    <row r="62" customFormat="false" ht="15.75" hidden="false" customHeight="false" outlineLevel="0" collapsed="false">
      <c r="A62" s="50" t="n">
        <v>45940</v>
      </c>
      <c r="B62" s="7" t="n">
        <v>0.75</v>
      </c>
      <c r="C62" s="8" t="s">
        <v>10</v>
      </c>
      <c r="D62" s="33" t="n">
        <v>21.3</v>
      </c>
      <c r="E62" s="33" t="n">
        <v>83.2</v>
      </c>
      <c r="F62" s="38" t="n">
        <v>79.4</v>
      </c>
      <c r="G62" s="38" t="n">
        <v>21.8</v>
      </c>
      <c r="H62" s="34" t="n">
        <f aca="false">-0.002*F62*F62+0.142*F62+20.494</f>
        <v>19.16008</v>
      </c>
    </row>
    <row r="63" customFormat="false" ht="15.75" hidden="false" customHeight="false" outlineLevel="0" collapsed="false">
      <c r="A63" s="50" t="n">
        <v>45940</v>
      </c>
      <c r="B63" s="7" t="n">
        <v>0.75</v>
      </c>
      <c r="C63" s="8" t="s">
        <v>8</v>
      </c>
      <c r="D63" s="33" t="n">
        <v>21.3</v>
      </c>
      <c r="E63" s="33" t="n">
        <v>83.2</v>
      </c>
      <c r="F63" s="38" t="n">
        <v>89.2</v>
      </c>
      <c r="G63" s="38" t="n">
        <v>21.3</v>
      </c>
      <c r="H63" s="34" t="n">
        <f aca="false">-0.002*F63*F63+0.142*F63+20.494</f>
        <v>17.24712</v>
      </c>
    </row>
    <row r="64" customFormat="false" ht="15.75" hidden="false" customHeight="false" outlineLevel="0" collapsed="false">
      <c r="A64" s="50" t="n">
        <v>45940</v>
      </c>
      <c r="B64" s="7" t="n">
        <v>0.75</v>
      </c>
      <c r="C64" s="8" t="s">
        <v>9</v>
      </c>
      <c r="D64" s="33" t="n">
        <v>21.3</v>
      </c>
      <c r="E64" s="33" t="n">
        <v>83.2</v>
      </c>
      <c r="F64" s="38" t="n">
        <v>80.3</v>
      </c>
      <c r="G64" s="38" t="n">
        <v>21.4</v>
      </c>
      <c r="H64" s="34" t="n">
        <f aca="false">-0.002*F64*F64+0.142*F64+20.494</f>
        <v>19.00042</v>
      </c>
    </row>
    <row r="65" customFormat="false" ht="15.75" hidden="false" customHeight="false" outlineLevel="0" collapsed="false">
      <c r="A65" s="50" t="n">
        <v>45941</v>
      </c>
      <c r="B65" s="7" t="n">
        <v>0.333333333333333</v>
      </c>
      <c r="C65" s="8" t="s">
        <v>10</v>
      </c>
      <c r="D65" s="38" t="n">
        <v>23.3</v>
      </c>
      <c r="E65" s="38" t="n">
        <v>73</v>
      </c>
      <c r="F65" s="33" t="n">
        <v>55.6</v>
      </c>
      <c r="G65" s="33" t="n">
        <v>28.5</v>
      </c>
      <c r="H65" s="34" t="n">
        <f aca="false">-0.002*F65*F65+0.142*F65+20.494</f>
        <v>22.20648</v>
      </c>
    </row>
    <row r="66" customFormat="false" ht="15.75" hidden="false" customHeight="false" outlineLevel="0" collapsed="false">
      <c r="A66" s="50" t="n">
        <v>45941</v>
      </c>
      <c r="B66" s="7" t="n">
        <v>0.333333333333333</v>
      </c>
      <c r="C66" s="8" t="s">
        <v>8</v>
      </c>
      <c r="D66" s="38" t="n">
        <v>23.3</v>
      </c>
      <c r="E66" s="38" t="n">
        <v>73</v>
      </c>
      <c r="F66" s="33" t="n">
        <v>44.8</v>
      </c>
      <c r="G66" s="33" t="n">
        <v>29.4</v>
      </c>
      <c r="H66" s="34" t="n">
        <f aca="false">-0.002*F66*F66+0.142*F66+20.494</f>
        <v>22.84152</v>
      </c>
    </row>
    <row r="67" customFormat="false" ht="15.75" hidden="false" customHeight="false" outlineLevel="0" collapsed="false">
      <c r="A67" s="50" t="n">
        <v>45941</v>
      </c>
      <c r="B67" s="7" t="n">
        <v>0.333333333333333</v>
      </c>
      <c r="C67" s="8" t="s">
        <v>9</v>
      </c>
      <c r="D67" s="38" t="n">
        <v>23.3</v>
      </c>
      <c r="E67" s="38" t="n">
        <v>73</v>
      </c>
      <c r="F67" s="33" t="n">
        <v>68.2</v>
      </c>
      <c r="G67" s="33" t="n">
        <v>28.2</v>
      </c>
      <c r="H67" s="34" t="n">
        <f aca="false">-0.002*F67*F67+0.142*F67+20.494</f>
        <v>20.87592</v>
      </c>
    </row>
    <row r="68" customFormat="false" ht="15.75" hidden="false" customHeight="false" outlineLevel="0" collapsed="false">
      <c r="A68" s="50" t="n">
        <v>45941</v>
      </c>
      <c r="B68" s="7" t="n">
        <v>0.416666666666667</v>
      </c>
      <c r="C68" s="23" t="s">
        <v>10</v>
      </c>
      <c r="D68" s="38" t="n">
        <v>41.3</v>
      </c>
      <c r="E68" s="38" t="n">
        <v>32.7</v>
      </c>
      <c r="F68" s="33" t="n">
        <v>41.6</v>
      </c>
      <c r="G68" s="33" t="n">
        <v>32.1</v>
      </c>
      <c r="H68" s="34" t="n">
        <f aca="false">-0.002*F68*F68+0.142*F68+20.494</f>
        <v>22.94008</v>
      </c>
    </row>
    <row r="69" customFormat="false" ht="15.75" hidden="false" customHeight="false" outlineLevel="0" collapsed="false">
      <c r="A69" s="50" t="n">
        <v>45941</v>
      </c>
      <c r="B69" s="7" t="n">
        <v>0.416666666666667</v>
      </c>
      <c r="C69" s="23" t="s">
        <v>8</v>
      </c>
      <c r="D69" s="38" t="n">
        <v>41.3</v>
      </c>
      <c r="E69" s="38" t="n">
        <v>32.7</v>
      </c>
      <c r="F69" s="33" t="n">
        <v>31.5</v>
      </c>
      <c r="G69" s="33" t="n">
        <v>39.6</v>
      </c>
      <c r="H69" s="34" t="n">
        <f aca="false">-0.002*F69*F69+0.142*F69+20.494</f>
        <v>22.9825</v>
      </c>
    </row>
    <row r="70" customFormat="false" ht="15.75" hidden="false" customHeight="false" outlineLevel="0" collapsed="false">
      <c r="A70" s="50" t="n">
        <v>45941</v>
      </c>
      <c r="B70" s="7" t="n">
        <v>0.416666666666667</v>
      </c>
      <c r="C70" s="23" t="s">
        <v>9</v>
      </c>
      <c r="D70" s="38" t="n">
        <v>41.3</v>
      </c>
      <c r="E70" s="38" t="n">
        <v>32.7</v>
      </c>
      <c r="F70" s="33" t="n">
        <v>33.9</v>
      </c>
      <c r="G70" s="33" t="n">
        <v>40.1</v>
      </c>
      <c r="H70" s="34" t="n">
        <f aca="false">-0.002*F70*F70+0.142*F70+20.494</f>
        <v>23.00938</v>
      </c>
    </row>
    <row r="71" customFormat="false" ht="15.75" hidden="false" customHeight="false" outlineLevel="0" collapsed="false">
      <c r="A71" s="50" t="n">
        <v>45941</v>
      </c>
      <c r="B71" s="7" t="n">
        <v>0.5</v>
      </c>
      <c r="C71" s="23" t="s">
        <v>10</v>
      </c>
      <c r="D71" s="38" t="n">
        <v>23.4</v>
      </c>
      <c r="E71" s="38" t="n">
        <v>70.2</v>
      </c>
      <c r="F71" s="33" t="n">
        <v>70.5</v>
      </c>
      <c r="G71" s="33" t="n">
        <v>28.2</v>
      </c>
      <c r="H71" s="34" t="n">
        <f aca="false">-0.002*F71*F71+0.142*F71+20.494</f>
        <v>20.5645</v>
      </c>
    </row>
    <row r="72" customFormat="false" ht="15.75" hidden="false" customHeight="false" outlineLevel="0" collapsed="false">
      <c r="A72" s="50" t="n">
        <v>45941</v>
      </c>
      <c r="B72" s="7" t="n">
        <v>0.5</v>
      </c>
      <c r="C72" s="23" t="s">
        <v>8</v>
      </c>
      <c r="D72" s="38" t="n">
        <v>23.4</v>
      </c>
      <c r="E72" s="38" t="n">
        <v>70.2</v>
      </c>
      <c r="F72" s="33" t="n">
        <v>61.2</v>
      </c>
      <c r="G72" s="33" t="n">
        <v>25.7</v>
      </c>
      <c r="H72" s="34" t="n">
        <f aca="false">-0.002*F72*F72+0.142*F72+20.494</f>
        <v>21.69352</v>
      </c>
    </row>
    <row r="73" customFormat="false" ht="15.75" hidden="false" customHeight="false" outlineLevel="0" collapsed="false">
      <c r="A73" s="50" t="n">
        <v>45941</v>
      </c>
      <c r="B73" s="7" t="n">
        <v>0.5</v>
      </c>
      <c r="C73" s="23" t="s">
        <v>9</v>
      </c>
      <c r="D73" s="38" t="n">
        <v>23.4</v>
      </c>
      <c r="E73" s="38" t="n">
        <v>70.2</v>
      </c>
      <c r="F73" s="33" t="n">
        <v>80.4</v>
      </c>
      <c r="G73" s="33" t="n">
        <v>23.2</v>
      </c>
      <c r="H73" s="34" t="n">
        <f aca="false">-0.002*F73*F73+0.142*F73+20.494</f>
        <v>18.98248</v>
      </c>
    </row>
    <row r="74" customFormat="false" ht="15.75" hidden="false" customHeight="false" outlineLevel="0" collapsed="false">
      <c r="A74" s="50" t="n">
        <v>45941</v>
      </c>
      <c r="B74" s="7" t="n">
        <v>0.583333333333333</v>
      </c>
      <c r="C74" s="23" t="s">
        <v>10</v>
      </c>
      <c r="D74" s="38" t="n">
        <v>23.1</v>
      </c>
      <c r="E74" s="38" t="n">
        <v>70.9</v>
      </c>
      <c r="F74" s="33" t="n">
        <v>59.1</v>
      </c>
      <c r="G74" s="33" t="n">
        <v>29.5</v>
      </c>
      <c r="H74" s="34" t="n">
        <f aca="false">-0.002*F74*F74+0.142*F74+20.494</f>
        <v>21.90058</v>
      </c>
    </row>
    <row r="75" customFormat="false" ht="15.75" hidden="false" customHeight="false" outlineLevel="0" collapsed="false">
      <c r="A75" s="50" t="n">
        <v>45941</v>
      </c>
      <c r="B75" s="7" t="n">
        <v>0.583333333333333</v>
      </c>
      <c r="C75" s="23" t="s">
        <v>8</v>
      </c>
      <c r="D75" s="38" t="n">
        <v>23.1</v>
      </c>
      <c r="E75" s="38" t="n">
        <v>70.9</v>
      </c>
      <c r="F75" s="33" t="n">
        <v>44.8</v>
      </c>
      <c r="G75" s="33" t="n">
        <v>32.1</v>
      </c>
      <c r="H75" s="34" t="n">
        <f aca="false">-0.002*F75*F75+0.142*F75+20.494</f>
        <v>22.84152</v>
      </c>
    </row>
    <row r="76" customFormat="false" ht="15.75" hidden="false" customHeight="false" outlineLevel="0" collapsed="false">
      <c r="A76" s="50" t="n">
        <v>45941</v>
      </c>
      <c r="B76" s="7" t="n">
        <v>0.583333333333333</v>
      </c>
      <c r="C76" s="23" t="s">
        <v>9</v>
      </c>
      <c r="D76" s="38" t="n">
        <v>23.1</v>
      </c>
      <c r="E76" s="38" t="n">
        <v>70.9</v>
      </c>
      <c r="F76" s="33" t="n">
        <v>52</v>
      </c>
      <c r="G76" s="33" t="n">
        <v>29.9</v>
      </c>
      <c r="H76" s="34" t="n">
        <f aca="false">-0.002*F76*F76+0.142*F76+20.494</f>
        <v>22.47</v>
      </c>
    </row>
    <row r="77" customFormat="false" ht="15.75" hidden="false" customHeight="false" outlineLevel="0" collapsed="false">
      <c r="A77" s="50" t="n">
        <v>45941</v>
      </c>
      <c r="B77" s="7" t="n">
        <v>0.666666666666667</v>
      </c>
      <c r="C77" s="23" t="s">
        <v>10</v>
      </c>
      <c r="D77" s="38" t="n">
        <v>24.1</v>
      </c>
      <c r="E77" s="38" t="n">
        <v>62.9</v>
      </c>
      <c r="F77" s="33" t="n">
        <v>68.2</v>
      </c>
      <c r="G77" s="33" t="n">
        <v>25.7</v>
      </c>
      <c r="H77" s="34" t="n">
        <f aca="false">-0.002*F77*F77+0.142*F77+20.494</f>
        <v>20.87592</v>
      </c>
    </row>
    <row r="78" customFormat="false" ht="15.75" hidden="false" customHeight="false" outlineLevel="0" collapsed="false">
      <c r="A78" s="50" t="n">
        <v>45941</v>
      </c>
      <c r="B78" s="7" t="n">
        <v>0.666666666666667</v>
      </c>
      <c r="C78" s="23" t="s">
        <v>8</v>
      </c>
      <c r="D78" s="38" t="n">
        <v>24.1</v>
      </c>
      <c r="E78" s="38" t="n">
        <v>62.9</v>
      </c>
      <c r="F78" s="33" t="n">
        <v>53</v>
      </c>
      <c r="G78" s="33" t="n">
        <v>23</v>
      </c>
      <c r="H78" s="34" t="n">
        <f aca="false">-0.002*F78*F78+0.142*F78+20.494</f>
        <v>22.402</v>
      </c>
    </row>
    <row r="79" customFormat="false" ht="15.75" hidden="false" customHeight="false" outlineLevel="0" collapsed="false">
      <c r="A79" s="50" t="n">
        <v>45941</v>
      </c>
      <c r="B79" s="7" t="n">
        <v>0.666666666666667</v>
      </c>
      <c r="C79" s="23" t="s">
        <v>9</v>
      </c>
      <c r="D79" s="38" t="n">
        <v>24.1</v>
      </c>
      <c r="E79" s="38" t="n">
        <v>62.9</v>
      </c>
      <c r="F79" s="33" t="n">
        <v>58.7</v>
      </c>
      <c r="G79" s="33" t="n">
        <v>23.1</v>
      </c>
      <c r="H79" s="34" t="n">
        <f aca="false">-0.002*F79*F79+0.142*F79+20.494</f>
        <v>21.93802</v>
      </c>
    </row>
    <row r="80" customFormat="false" ht="15.75" hidden="false" customHeight="false" outlineLevel="0" collapsed="false">
      <c r="A80" s="50" t="n">
        <v>45941</v>
      </c>
      <c r="B80" s="7" t="n">
        <v>0.75</v>
      </c>
      <c r="C80" s="23" t="s">
        <v>10</v>
      </c>
      <c r="D80" s="38" t="n">
        <v>20.5</v>
      </c>
      <c r="E80" s="38" t="n">
        <v>79.9</v>
      </c>
      <c r="F80" s="33" t="n">
        <v>83.2</v>
      </c>
      <c r="G80" s="33" t="n">
        <v>19.6</v>
      </c>
      <c r="H80" s="34" t="n">
        <f aca="false">-0.002*F80*F80+0.142*F80+20.494</f>
        <v>18.46392</v>
      </c>
    </row>
    <row r="81" customFormat="false" ht="15.75" hidden="false" customHeight="false" outlineLevel="0" collapsed="false">
      <c r="A81" s="50" t="n">
        <v>45941</v>
      </c>
      <c r="B81" s="7" t="n">
        <v>0.75</v>
      </c>
      <c r="C81" s="23" t="s">
        <v>8</v>
      </c>
      <c r="D81" s="38" t="n">
        <v>20.5</v>
      </c>
      <c r="E81" s="38" t="n">
        <v>79.9</v>
      </c>
      <c r="F81" s="33" t="n">
        <v>83.2</v>
      </c>
      <c r="G81" s="33" t="n">
        <v>19.6</v>
      </c>
      <c r="H81" s="34" t="n">
        <f aca="false">-0.002*F81*F81+0.142*F81+20.494</f>
        <v>18.46392</v>
      </c>
    </row>
    <row r="82" customFormat="false" ht="15.75" hidden="false" customHeight="false" outlineLevel="0" collapsed="false">
      <c r="A82" s="50" t="n">
        <v>45941</v>
      </c>
      <c r="B82" s="7" t="n">
        <v>0.75</v>
      </c>
      <c r="C82" s="23" t="s">
        <v>9</v>
      </c>
      <c r="D82" s="38" t="n">
        <v>20.5</v>
      </c>
      <c r="E82" s="38" t="n">
        <v>79.9</v>
      </c>
      <c r="F82" s="33" t="n">
        <v>83.2</v>
      </c>
      <c r="G82" s="33" t="n">
        <v>19.6</v>
      </c>
      <c r="H82" s="34" t="n">
        <f aca="false">-0.002*F82*F82+0.142*F82+20.494</f>
        <v>18.46392</v>
      </c>
    </row>
    <row r="83" customFormat="false" ht="15.75" hidden="false" customHeight="false" outlineLevel="0" collapsed="false">
      <c r="A83" s="50" t="n">
        <v>45942</v>
      </c>
      <c r="B83" s="7" t="n">
        <v>0.333333333333333</v>
      </c>
      <c r="C83" s="23" t="s">
        <v>10</v>
      </c>
      <c r="D83" s="38" t="n">
        <v>25.4</v>
      </c>
      <c r="E83" s="38" t="n">
        <v>76.5</v>
      </c>
      <c r="F83" s="33" t="n">
        <v>56</v>
      </c>
      <c r="G83" s="33" t="n">
        <v>18.5</v>
      </c>
      <c r="H83" s="34" t="n">
        <f aca="false">-0.002*F83*F83+0.142*F83+20.494</f>
        <v>22.174</v>
      </c>
    </row>
    <row r="84" customFormat="false" ht="15.75" hidden="false" customHeight="false" outlineLevel="0" collapsed="false">
      <c r="A84" s="50" t="n">
        <v>45942</v>
      </c>
      <c r="B84" s="7" t="n">
        <v>0.333333333333333</v>
      </c>
      <c r="C84" s="23" t="s">
        <v>8</v>
      </c>
      <c r="D84" s="38" t="n">
        <v>25.4</v>
      </c>
      <c r="E84" s="38" t="n">
        <v>76.5</v>
      </c>
      <c r="F84" s="33" t="n">
        <v>57</v>
      </c>
      <c r="G84" s="33" t="n">
        <v>18.2</v>
      </c>
      <c r="H84" s="34" t="n">
        <f aca="false">-0.002*F84*F84+0.142*F84+20.494</f>
        <v>22.09</v>
      </c>
    </row>
    <row r="85" customFormat="false" ht="15.75" hidden="false" customHeight="false" outlineLevel="0" collapsed="false">
      <c r="A85" s="50" t="n">
        <v>45942</v>
      </c>
      <c r="B85" s="7" t="n">
        <v>0.333333333333333</v>
      </c>
      <c r="C85" s="23" t="s">
        <v>9</v>
      </c>
      <c r="D85" s="38" t="n">
        <v>25.4</v>
      </c>
      <c r="E85" s="38" t="n">
        <v>76.5</v>
      </c>
      <c r="F85" s="33" t="n">
        <v>57</v>
      </c>
      <c r="G85" s="33" t="n">
        <v>18.9</v>
      </c>
      <c r="H85" s="34" t="n">
        <f aca="false">-0.002*F85*F85+0.142*F85+20.494</f>
        <v>22.09</v>
      </c>
    </row>
    <row r="86" customFormat="false" ht="15.75" hidden="false" customHeight="false" outlineLevel="0" collapsed="false">
      <c r="A86" s="50" t="n">
        <v>45942</v>
      </c>
      <c r="B86" s="7" t="n">
        <v>0.416666666666667</v>
      </c>
      <c r="C86" s="8" t="s">
        <v>10</v>
      </c>
      <c r="D86" s="33" t="n">
        <v>25.8</v>
      </c>
      <c r="E86" s="33" t="n">
        <v>70.5</v>
      </c>
      <c r="F86" s="33" t="n">
        <v>40</v>
      </c>
      <c r="G86" s="33" t="n">
        <v>18.3</v>
      </c>
      <c r="H86" s="34" t="n">
        <f aca="false">-0.002*F86*F86+0.142*F86+20.494</f>
        <v>22.974</v>
      </c>
    </row>
    <row r="87" customFormat="false" ht="15.75" hidden="false" customHeight="false" outlineLevel="0" collapsed="false">
      <c r="A87" s="50" t="n">
        <v>45942</v>
      </c>
      <c r="B87" s="7" t="n">
        <v>0.416666666666667</v>
      </c>
      <c r="C87" s="8" t="s">
        <v>8</v>
      </c>
      <c r="D87" s="33" t="n">
        <v>25.8</v>
      </c>
      <c r="E87" s="33" t="n">
        <v>70.5</v>
      </c>
      <c r="F87" s="33" t="n">
        <v>44</v>
      </c>
      <c r="G87" s="33" t="n">
        <v>18.2</v>
      </c>
      <c r="H87" s="34" t="n">
        <f aca="false">-0.002*F87*F87+0.142*F87+20.494</f>
        <v>22.87</v>
      </c>
    </row>
    <row r="88" customFormat="false" ht="15.75" hidden="false" customHeight="false" outlineLevel="0" collapsed="false">
      <c r="A88" s="50" t="n">
        <v>45942</v>
      </c>
      <c r="B88" s="7" t="n">
        <v>0.416666666666667</v>
      </c>
      <c r="C88" s="8" t="s">
        <v>9</v>
      </c>
      <c r="D88" s="33" t="n">
        <v>25.8</v>
      </c>
      <c r="E88" s="33" t="n">
        <v>70.5</v>
      </c>
      <c r="F88" s="33" t="n">
        <v>40</v>
      </c>
      <c r="G88" s="33" t="n">
        <v>17.5</v>
      </c>
      <c r="H88" s="34" t="n">
        <f aca="false">-0.002*F88*F88+0.142*F88+20.494</f>
        <v>22.974</v>
      </c>
    </row>
    <row r="89" customFormat="false" ht="15.75" hidden="false" customHeight="false" outlineLevel="0" collapsed="false">
      <c r="A89" s="50" t="n">
        <v>45942</v>
      </c>
      <c r="B89" s="7" t="n">
        <v>0.5</v>
      </c>
      <c r="C89" s="8" t="s">
        <v>10</v>
      </c>
      <c r="D89" s="33" t="n">
        <v>30.2</v>
      </c>
      <c r="E89" s="33" t="n">
        <v>48.8</v>
      </c>
      <c r="F89" s="33" t="n">
        <v>50.2</v>
      </c>
      <c r="G89" s="33" t="n">
        <v>32.2</v>
      </c>
      <c r="H89" s="34" t="n">
        <f aca="false">-0.002*F89*F89+0.142*F89+20.494</f>
        <v>22.58232</v>
      </c>
    </row>
    <row r="90" customFormat="false" ht="15.75" hidden="false" customHeight="false" outlineLevel="0" collapsed="false">
      <c r="A90" s="50" t="n">
        <v>45942</v>
      </c>
      <c r="B90" s="7" t="n">
        <v>0.5</v>
      </c>
      <c r="C90" s="8" t="s">
        <v>8</v>
      </c>
      <c r="D90" s="33" t="n">
        <v>30.2</v>
      </c>
      <c r="E90" s="33" t="n">
        <v>48.8</v>
      </c>
      <c r="F90" s="33" t="n">
        <v>49.7</v>
      </c>
      <c r="G90" s="38" t="n">
        <v>26.2</v>
      </c>
      <c r="H90" s="34" t="n">
        <f aca="false">-0.002*F90*F90+0.142*F90+20.494</f>
        <v>22.61122</v>
      </c>
    </row>
    <row r="91" customFormat="false" ht="15.75" hidden="false" customHeight="false" outlineLevel="0" collapsed="false">
      <c r="A91" s="50" t="n">
        <v>45942</v>
      </c>
      <c r="B91" s="7" t="n">
        <v>0.5</v>
      </c>
      <c r="C91" s="8" t="s">
        <v>9</v>
      </c>
      <c r="D91" s="33" t="n">
        <v>30.2</v>
      </c>
      <c r="E91" s="33" t="n">
        <v>48.8</v>
      </c>
      <c r="F91" s="33" t="n">
        <v>48.3</v>
      </c>
      <c r="G91" s="38" t="n">
        <v>19.3</v>
      </c>
      <c r="H91" s="34" t="n">
        <f aca="false">-0.002*F91*F91+0.142*F91+20.494</f>
        <v>22.68682</v>
      </c>
    </row>
    <row r="92" customFormat="false" ht="15.75" hidden="false" customHeight="false" outlineLevel="0" collapsed="false">
      <c r="A92" s="50" t="n">
        <v>45942</v>
      </c>
      <c r="B92" s="7" t="n">
        <v>0.583333333333333</v>
      </c>
      <c r="C92" s="8" t="s">
        <v>10</v>
      </c>
      <c r="D92" s="33" t="n">
        <v>22.7</v>
      </c>
      <c r="E92" s="33" t="n">
        <v>65.6</v>
      </c>
      <c r="F92" s="33" t="n">
        <v>62.3</v>
      </c>
      <c r="G92" s="38" t="n">
        <v>23.5</v>
      </c>
      <c r="H92" s="34" t="n">
        <f aca="false">-0.002*F92*F92+0.142*F92+20.494</f>
        <v>21.57802</v>
      </c>
    </row>
    <row r="93" customFormat="false" ht="15.75" hidden="false" customHeight="false" outlineLevel="0" collapsed="false">
      <c r="A93" s="50" t="n">
        <v>45942</v>
      </c>
      <c r="B93" s="7" t="n">
        <v>0.583333333333333</v>
      </c>
      <c r="C93" s="8" t="s">
        <v>8</v>
      </c>
      <c r="D93" s="33" t="n">
        <v>22.7</v>
      </c>
      <c r="E93" s="33" t="n">
        <v>65.6</v>
      </c>
      <c r="F93" s="33" t="n">
        <v>59.1</v>
      </c>
      <c r="G93" s="38" t="n">
        <v>24.5</v>
      </c>
      <c r="H93" s="34" t="n">
        <f aca="false">-0.002*F93*F93+0.142*F93+20.494</f>
        <v>21.90058</v>
      </c>
    </row>
    <row r="94" customFormat="false" ht="15.75" hidden="false" customHeight="false" outlineLevel="0" collapsed="false">
      <c r="A94" s="50" t="n">
        <v>45942</v>
      </c>
      <c r="B94" s="7" t="n">
        <v>0.583333333333333</v>
      </c>
      <c r="C94" s="8" t="s">
        <v>9</v>
      </c>
      <c r="D94" s="33" t="n">
        <v>22.7</v>
      </c>
      <c r="E94" s="33" t="n">
        <v>65.6</v>
      </c>
      <c r="F94" s="33" t="n">
        <v>73.6</v>
      </c>
      <c r="G94" s="38" t="n">
        <v>23</v>
      </c>
      <c r="H94" s="34" t="n">
        <f aca="false">-0.002*F94*F94+0.142*F94+20.494</f>
        <v>20.11128</v>
      </c>
    </row>
    <row r="95" customFormat="false" ht="15.75" hidden="false" customHeight="false" outlineLevel="0" collapsed="false">
      <c r="A95" s="50" t="n">
        <v>45942</v>
      </c>
      <c r="B95" s="7" t="n">
        <v>0.666666666666667</v>
      </c>
      <c r="C95" s="8" t="s">
        <v>10</v>
      </c>
      <c r="D95" s="33" t="n">
        <v>21</v>
      </c>
      <c r="E95" s="33" t="n">
        <v>73.4</v>
      </c>
      <c r="F95" s="33" t="n">
        <v>79.8</v>
      </c>
      <c r="G95" s="38" t="n">
        <v>21.7</v>
      </c>
      <c r="H95" s="34" t="n">
        <f aca="false">-0.002*F95*F95+0.142*F95+20.494</f>
        <v>19.08952</v>
      </c>
    </row>
    <row r="96" customFormat="false" ht="15.75" hidden="false" customHeight="false" outlineLevel="0" collapsed="false">
      <c r="A96" s="50" t="n">
        <v>45942</v>
      </c>
      <c r="B96" s="7" t="n">
        <v>0.666666666666667</v>
      </c>
      <c r="C96" s="8" t="s">
        <v>8</v>
      </c>
      <c r="D96" s="33" t="n">
        <v>21</v>
      </c>
      <c r="E96" s="33" t="n">
        <v>73.4</v>
      </c>
      <c r="F96" s="33" t="n">
        <v>64.7</v>
      </c>
      <c r="G96" s="38" t="n">
        <v>22.9</v>
      </c>
      <c r="H96" s="34" t="n">
        <f aca="false">-0.002*F96*F96+0.142*F96+20.494</f>
        <v>21.30922</v>
      </c>
    </row>
    <row r="97" customFormat="false" ht="15.75" hidden="false" customHeight="false" outlineLevel="0" collapsed="false">
      <c r="A97" s="50" t="n">
        <v>45942</v>
      </c>
      <c r="B97" s="7" t="n">
        <v>0.666666666666667</v>
      </c>
      <c r="C97" s="8" t="s">
        <v>9</v>
      </c>
      <c r="D97" s="33" t="n">
        <v>21</v>
      </c>
      <c r="E97" s="33" t="n">
        <v>73.4</v>
      </c>
      <c r="F97" s="33" t="n">
        <v>66.4</v>
      </c>
      <c r="G97" s="38" t="n">
        <v>22.1</v>
      </c>
      <c r="H97" s="34" t="n">
        <f aca="false">-0.002*F97*F97+0.142*F97+20.494</f>
        <v>21.10488</v>
      </c>
    </row>
    <row r="98" customFormat="false" ht="15.75" hidden="false" customHeight="false" outlineLevel="0" collapsed="false">
      <c r="A98" s="50" t="n">
        <v>45942</v>
      </c>
      <c r="B98" s="7" t="n">
        <v>0.75</v>
      </c>
      <c r="C98" s="8" t="s">
        <v>10</v>
      </c>
      <c r="D98" s="33" t="n">
        <v>18.8</v>
      </c>
      <c r="E98" s="33" t="n">
        <v>82.1</v>
      </c>
      <c r="F98" s="33" t="n">
        <v>79.8</v>
      </c>
      <c r="G98" s="38" t="n">
        <v>21.6</v>
      </c>
      <c r="H98" s="34" t="n">
        <f aca="false">-0.002*F98*F98+0.142*F98+20.494</f>
        <v>19.08952</v>
      </c>
    </row>
    <row r="99" customFormat="false" ht="15.75" hidden="false" customHeight="false" outlineLevel="0" collapsed="false">
      <c r="A99" s="50" t="n">
        <v>45942</v>
      </c>
      <c r="B99" s="7" t="n">
        <v>0.75</v>
      </c>
      <c r="C99" s="8" t="s">
        <v>8</v>
      </c>
      <c r="D99" s="33" t="n">
        <v>18.8</v>
      </c>
      <c r="E99" s="33" t="n">
        <v>82.1</v>
      </c>
      <c r="F99" s="33" t="n">
        <v>66</v>
      </c>
      <c r="G99" s="38" t="n">
        <v>22</v>
      </c>
      <c r="H99" s="34" t="n">
        <f aca="false">-0.002*F99*F99+0.142*F99+20.494</f>
        <v>21.154</v>
      </c>
    </row>
    <row r="100" customFormat="false" ht="15.75" hidden="false" customHeight="false" outlineLevel="0" collapsed="false">
      <c r="A100" s="50" t="n">
        <v>45942</v>
      </c>
      <c r="B100" s="7" t="n">
        <v>0.75</v>
      </c>
      <c r="C100" s="8" t="s">
        <v>9</v>
      </c>
      <c r="D100" s="33" t="n">
        <v>18.8</v>
      </c>
      <c r="E100" s="33" t="n">
        <v>82.1</v>
      </c>
      <c r="F100" s="33" t="n">
        <v>68.8</v>
      </c>
      <c r="G100" s="38" t="n">
        <v>21.6</v>
      </c>
      <c r="H100" s="34" t="n">
        <f aca="false">-0.002*F100*F100+0.142*F100+20.494</f>
        <v>20.79672</v>
      </c>
    </row>
    <row r="101" customFormat="false" ht="15.75" hidden="false" customHeight="false" outlineLevel="0" collapsed="false">
      <c r="A101" s="51" t="n">
        <v>45943</v>
      </c>
      <c r="B101" s="7" t="n">
        <v>0.333333333333333</v>
      </c>
      <c r="C101" s="8" t="s">
        <v>10</v>
      </c>
      <c r="D101" s="33" t="n">
        <v>19.2</v>
      </c>
      <c r="E101" s="33" t="n">
        <v>84</v>
      </c>
      <c r="F101" s="33" t="n">
        <v>77.9</v>
      </c>
      <c r="G101" s="38" t="n">
        <v>20.9</v>
      </c>
      <c r="H101" s="34" t="n">
        <f aca="false">-0.002*F101*F101+0.142*F101+20.494</f>
        <v>19.41898</v>
      </c>
    </row>
    <row r="102" customFormat="false" ht="15.75" hidden="false" customHeight="false" outlineLevel="0" collapsed="false">
      <c r="A102" s="51" t="n">
        <v>45943</v>
      </c>
      <c r="B102" s="7" t="n">
        <v>0.333333333333333</v>
      </c>
      <c r="C102" s="8" t="s">
        <v>8</v>
      </c>
      <c r="D102" s="33" t="n">
        <v>19.2</v>
      </c>
      <c r="E102" s="33" t="n">
        <v>84</v>
      </c>
      <c r="F102" s="33" t="n">
        <v>77.8</v>
      </c>
      <c r="G102" s="38" t="n">
        <v>20.6</v>
      </c>
      <c r="H102" s="34" t="n">
        <f aca="false">-0.002*F102*F102+0.142*F102+20.494</f>
        <v>19.43592</v>
      </c>
    </row>
    <row r="103" customFormat="false" ht="15.75" hidden="false" customHeight="false" outlineLevel="0" collapsed="false">
      <c r="A103" s="51" t="n">
        <v>45943</v>
      </c>
      <c r="B103" s="7" t="n">
        <v>0.333333333333333</v>
      </c>
      <c r="C103" s="8" t="s">
        <v>9</v>
      </c>
      <c r="D103" s="33" t="n">
        <v>19.2</v>
      </c>
      <c r="E103" s="33" t="n">
        <v>84</v>
      </c>
      <c r="F103" s="33" t="n">
        <v>87.6</v>
      </c>
      <c r="G103" s="38" t="n">
        <v>20.8</v>
      </c>
      <c r="H103" s="34" t="n">
        <f aca="false">-0.002*F103*F103+0.142*F103+20.494</f>
        <v>17.58568</v>
      </c>
    </row>
    <row r="104" customFormat="false" ht="15.75" hidden="false" customHeight="false" outlineLevel="0" collapsed="false">
      <c r="A104" s="51" t="n">
        <v>45943</v>
      </c>
      <c r="B104" s="7" t="n">
        <v>0.416666666666667</v>
      </c>
      <c r="C104" s="8" t="s">
        <v>10</v>
      </c>
      <c r="D104" s="33" t="n">
        <v>24.1</v>
      </c>
      <c r="E104" s="33" t="n">
        <v>65.9</v>
      </c>
      <c r="F104" s="33" t="n">
        <v>54.6</v>
      </c>
      <c r="G104" s="38" t="n">
        <v>28.7</v>
      </c>
      <c r="H104" s="34" t="n">
        <f aca="false">-0.002*F104*F104+0.142*F104+20.494</f>
        <v>22.28488</v>
      </c>
    </row>
    <row r="105" customFormat="false" ht="15.75" hidden="false" customHeight="false" outlineLevel="0" collapsed="false">
      <c r="A105" s="51" t="n">
        <v>45943</v>
      </c>
      <c r="B105" s="7" t="n">
        <v>0.416666666666667</v>
      </c>
      <c r="C105" s="8" t="s">
        <v>8</v>
      </c>
      <c r="D105" s="33" t="n">
        <v>24.1</v>
      </c>
      <c r="E105" s="33" t="n">
        <v>65.9</v>
      </c>
      <c r="F105" s="33" t="n">
        <v>47.5</v>
      </c>
      <c r="G105" s="38" t="n">
        <v>22.1</v>
      </c>
      <c r="H105" s="34" t="n">
        <f aca="false">-0.002*F105*F105+0.142*F105+20.494</f>
        <v>22.7265</v>
      </c>
    </row>
    <row r="106" customFormat="false" ht="15.75" hidden="false" customHeight="false" outlineLevel="0" collapsed="false">
      <c r="A106" s="51" t="n">
        <v>45943</v>
      </c>
      <c r="B106" s="7" t="n">
        <v>0.416666666666667</v>
      </c>
      <c r="C106" s="8" t="s">
        <v>9</v>
      </c>
      <c r="D106" s="33" t="n">
        <v>24.1</v>
      </c>
      <c r="E106" s="33" t="n">
        <v>65.9</v>
      </c>
      <c r="F106" s="33" t="n">
        <v>54.8</v>
      </c>
      <c r="G106" s="38" t="n">
        <v>29.9</v>
      </c>
      <c r="H106" s="34" t="n">
        <f aca="false">-0.002*F106*F106+0.142*F106+20.494</f>
        <v>22.26952</v>
      </c>
    </row>
    <row r="107" customFormat="false" ht="15.75" hidden="false" customHeight="false" outlineLevel="0" collapsed="false">
      <c r="A107" s="51" t="n">
        <v>45943</v>
      </c>
      <c r="B107" s="7" t="n">
        <v>0.5</v>
      </c>
      <c r="C107" s="8" t="s">
        <v>10</v>
      </c>
      <c r="D107" s="33" t="n">
        <v>31.5</v>
      </c>
      <c r="E107" s="33" t="n">
        <v>45</v>
      </c>
      <c r="F107" s="33" t="n">
        <v>20.9</v>
      </c>
      <c r="G107" s="38" t="n">
        <v>43.7</v>
      </c>
      <c r="H107" s="34" t="n">
        <f aca="false">-0.002*F107*F107+0.142*F107+20.494</f>
        <v>22.58818</v>
      </c>
    </row>
    <row r="108" customFormat="false" ht="15.75" hidden="false" customHeight="false" outlineLevel="0" collapsed="false">
      <c r="A108" s="51" t="n">
        <v>45943</v>
      </c>
      <c r="B108" s="7" t="n">
        <v>0.5</v>
      </c>
      <c r="C108" s="8" t="s">
        <v>8</v>
      </c>
      <c r="D108" s="33" t="n">
        <v>31.5</v>
      </c>
      <c r="E108" s="33" t="n">
        <v>45</v>
      </c>
      <c r="F108" s="33" t="n">
        <v>27.5</v>
      </c>
      <c r="G108" s="38" t="n">
        <v>43.7</v>
      </c>
      <c r="H108" s="34" t="n">
        <f aca="false">-0.002*F108*F108+0.142*F108+20.494</f>
        <v>22.8865</v>
      </c>
    </row>
    <row r="109" customFormat="false" ht="15.75" hidden="false" customHeight="false" outlineLevel="0" collapsed="false">
      <c r="A109" s="51" t="n">
        <v>45943</v>
      </c>
      <c r="B109" s="7" t="n">
        <v>0.5</v>
      </c>
      <c r="C109" s="8" t="s">
        <v>9</v>
      </c>
      <c r="D109" s="33" t="n">
        <v>31.5</v>
      </c>
      <c r="E109" s="33" t="n">
        <v>45</v>
      </c>
      <c r="F109" s="33" t="n">
        <v>23.8</v>
      </c>
      <c r="G109" s="38" t="n">
        <v>41.4</v>
      </c>
      <c r="H109" s="34" t="n">
        <f aca="false">-0.002*F109*F109+0.142*F109+20.494</f>
        <v>22.74072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6015625" defaultRowHeight="12.8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3.8" hidden="false" customHeight="false" outlineLevel="0" collapsed="false">
      <c r="A2" s="53" t="s">
        <v>12</v>
      </c>
      <c r="B2" s="7" t="n">
        <v>0.333333333333333</v>
      </c>
      <c r="C2" s="8" t="s">
        <v>7</v>
      </c>
      <c r="D2" s="54" t="n">
        <v>21.6</v>
      </c>
      <c r="E2" s="54" t="n">
        <v>83</v>
      </c>
      <c r="F2" s="54" t="n">
        <v>24.6</v>
      </c>
      <c r="G2" s="54" t="n">
        <v>20.1</v>
      </c>
    </row>
    <row r="3" customFormat="false" ht="13.8" hidden="false" customHeight="false" outlineLevel="0" collapsed="false">
      <c r="A3" s="53" t="s">
        <v>12</v>
      </c>
      <c r="B3" s="7" t="n">
        <v>0.333333333333333</v>
      </c>
      <c r="C3" s="8" t="s">
        <v>8</v>
      </c>
      <c r="D3" s="54" t="n">
        <v>21.6</v>
      </c>
      <c r="E3" s="54" t="n">
        <v>83</v>
      </c>
      <c r="F3" s="54" t="n">
        <v>23.8</v>
      </c>
      <c r="G3" s="54" t="n">
        <v>27.9</v>
      </c>
    </row>
    <row r="4" customFormat="false" ht="13.8" hidden="false" customHeight="false" outlineLevel="0" collapsed="false">
      <c r="A4" s="53" t="s">
        <v>12</v>
      </c>
      <c r="B4" s="7" t="n">
        <v>0.333333333333333</v>
      </c>
      <c r="C4" s="8" t="s">
        <v>9</v>
      </c>
      <c r="D4" s="54" t="n">
        <v>21.6</v>
      </c>
      <c r="E4" s="54" t="n">
        <v>83</v>
      </c>
      <c r="F4" s="54" t="n">
        <v>23.3</v>
      </c>
      <c r="G4" s="54" t="n">
        <v>20.4</v>
      </c>
    </row>
    <row r="5" customFormat="false" ht="13.8" hidden="false" customHeight="false" outlineLevel="0" collapsed="false">
      <c r="A5" s="53" t="s">
        <v>12</v>
      </c>
      <c r="B5" s="7" t="n">
        <v>0.416666666666667</v>
      </c>
      <c r="C5" s="8" t="s">
        <v>10</v>
      </c>
      <c r="D5" s="54" t="n">
        <v>25.7</v>
      </c>
      <c r="E5" s="54" t="n">
        <v>73</v>
      </c>
      <c r="F5" s="54" t="n">
        <v>39.7</v>
      </c>
      <c r="G5" s="54" t="n">
        <v>29</v>
      </c>
    </row>
    <row r="6" customFormat="false" ht="13.8" hidden="false" customHeight="false" outlineLevel="0" collapsed="false">
      <c r="A6" s="53" t="s">
        <v>12</v>
      </c>
      <c r="B6" s="7" t="n">
        <v>0.416666666666667</v>
      </c>
      <c r="C6" s="8" t="s">
        <v>8</v>
      </c>
      <c r="D6" s="54" t="n">
        <v>25.7</v>
      </c>
      <c r="E6" s="54" t="n">
        <v>73</v>
      </c>
      <c r="F6" s="54" t="n">
        <v>39.7</v>
      </c>
      <c r="G6" s="54" t="n">
        <v>30.6</v>
      </c>
    </row>
    <row r="7" customFormat="false" ht="13.8" hidden="false" customHeight="false" outlineLevel="0" collapsed="false">
      <c r="A7" s="53" t="s">
        <v>12</v>
      </c>
      <c r="B7" s="7" t="n">
        <v>0.416666666666667</v>
      </c>
      <c r="C7" s="8" t="s">
        <v>9</v>
      </c>
      <c r="D7" s="54" t="n">
        <v>25.7</v>
      </c>
      <c r="E7" s="54" t="n">
        <v>73</v>
      </c>
      <c r="F7" s="54" t="n">
        <v>41.2</v>
      </c>
      <c r="G7" s="54" t="n">
        <v>31.2</v>
      </c>
    </row>
    <row r="8" customFormat="false" ht="13.8" hidden="false" customHeight="false" outlineLevel="0" collapsed="false">
      <c r="A8" s="53" t="s">
        <v>12</v>
      </c>
      <c r="B8" s="7" t="n">
        <v>0.5</v>
      </c>
      <c r="C8" s="8" t="s">
        <v>10</v>
      </c>
      <c r="D8" s="54" t="n">
        <v>31.5</v>
      </c>
      <c r="E8" s="54" t="n">
        <v>83</v>
      </c>
      <c r="F8" s="54" t="n">
        <v>27.8</v>
      </c>
      <c r="G8" s="54" t="n">
        <v>29.9</v>
      </c>
    </row>
    <row r="9" customFormat="false" ht="13.8" hidden="false" customHeight="false" outlineLevel="0" collapsed="false">
      <c r="A9" s="53" t="s">
        <v>12</v>
      </c>
      <c r="B9" s="7" t="n">
        <v>0.5</v>
      </c>
      <c r="C9" s="8" t="s">
        <v>8</v>
      </c>
      <c r="D9" s="54" t="n">
        <v>31.5</v>
      </c>
      <c r="E9" s="54" t="n">
        <v>83</v>
      </c>
      <c r="F9" s="54" t="n">
        <v>27.4</v>
      </c>
      <c r="G9" s="54" t="n">
        <v>29.6</v>
      </c>
    </row>
    <row r="10" customFormat="false" ht="13.8" hidden="false" customHeight="false" outlineLevel="0" collapsed="false">
      <c r="A10" s="53" t="s">
        <v>12</v>
      </c>
      <c r="B10" s="7" t="n">
        <v>0.5</v>
      </c>
      <c r="C10" s="8" t="s">
        <v>9</v>
      </c>
      <c r="D10" s="54" t="n">
        <v>31.5</v>
      </c>
      <c r="E10" s="54" t="n">
        <v>83</v>
      </c>
      <c r="F10" s="54" t="n">
        <v>27</v>
      </c>
      <c r="G10" s="54" t="n">
        <v>30.6</v>
      </c>
    </row>
    <row r="11" customFormat="false" ht="13.8" hidden="false" customHeight="false" outlineLevel="0" collapsed="false">
      <c r="A11" s="53" t="s">
        <v>12</v>
      </c>
      <c r="B11" s="7" t="n">
        <v>0.583333333333333</v>
      </c>
      <c r="C11" s="8" t="s">
        <v>10</v>
      </c>
      <c r="D11" s="54" t="n">
        <v>27.4</v>
      </c>
      <c r="E11" s="54" t="n">
        <v>63</v>
      </c>
      <c r="F11" s="54" t="n">
        <v>27.1</v>
      </c>
      <c r="G11" s="54" t="n">
        <v>26.8</v>
      </c>
    </row>
    <row r="12" customFormat="false" ht="13.8" hidden="false" customHeight="false" outlineLevel="0" collapsed="false">
      <c r="A12" s="53" t="s">
        <v>12</v>
      </c>
      <c r="B12" s="7" t="n">
        <v>0.583333333333333</v>
      </c>
      <c r="C12" s="8" t="s">
        <v>8</v>
      </c>
      <c r="D12" s="54" t="n">
        <v>27.4</v>
      </c>
      <c r="E12" s="54" t="n">
        <v>63</v>
      </c>
      <c r="F12" s="54" t="n">
        <v>27.2</v>
      </c>
      <c r="G12" s="54" t="n">
        <v>26.8</v>
      </c>
    </row>
    <row r="13" customFormat="false" ht="13.8" hidden="false" customHeight="false" outlineLevel="0" collapsed="false">
      <c r="A13" s="53" t="s">
        <v>12</v>
      </c>
      <c r="B13" s="7" t="n">
        <v>0.583333333333333</v>
      </c>
      <c r="C13" s="8" t="s">
        <v>9</v>
      </c>
      <c r="D13" s="54" t="n">
        <v>27.4</v>
      </c>
      <c r="E13" s="54" t="n">
        <v>63</v>
      </c>
      <c r="F13" s="54" t="n">
        <v>26.3</v>
      </c>
      <c r="G13" s="54" t="n">
        <v>26.8</v>
      </c>
    </row>
    <row r="14" customFormat="false" ht="13.8" hidden="false" customHeight="false" outlineLevel="0" collapsed="false">
      <c r="A14" s="53" t="s">
        <v>12</v>
      </c>
      <c r="B14" s="7" t="n">
        <v>0.666666666666667</v>
      </c>
      <c r="C14" s="8" t="s">
        <v>10</v>
      </c>
      <c r="D14" s="54" t="n">
        <v>24.4</v>
      </c>
      <c r="E14" s="54" t="n">
        <v>74</v>
      </c>
      <c r="F14" s="54" t="n">
        <v>27.8</v>
      </c>
      <c r="G14" s="54" t="n">
        <v>21.4</v>
      </c>
    </row>
    <row r="15" customFormat="false" ht="13.8" hidden="false" customHeight="false" outlineLevel="0" collapsed="false">
      <c r="A15" s="53" t="s">
        <v>12</v>
      </c>
      <c r="B15" s="7" t="n">
        <v>0.666666666666667</v>
      </c>
      <c r="C15" s="8" t="s">
        <v>8</v>
      </c>
      <c r="D15" s="54" t="n">
        <v>24.4</v>
      </c>
      <c r="E15" s="54" t="n">
        <v>74</v>
      </c>
      <c r="F15" s="54" t="n">
        <v>29.1</v>
      </c>
      <c r="G15" s="54" t="n">
        <v>21.2</v>
      </c>
    </row>
    <row r="16" customFormat="false" ht="13.8" hidden="false" customHeight="false" outlineLevel="0" collapsed="false">
      <c r="A16" s="53" t="s">
        <v>12</v>
      </c>
      <c r="B16" s="7" t="n">
        <v>0.666666666666667</v>
      </c>
      <c r="C16" s="8" t="s">
        <v>9</v>
      </c>
      <c r="D16" s="54" t="n">
        <v>24.4</v>
      </c>
      <c r="E16" s="54" t="n">
        <v>74</v>
      </c>
      <c r="F16" s="54" t="n">
        <v>28.2</v>
      </c>
      <c r="G16" s="54" t="n">
        <v>21.8</v>
      </c>
    </row>
    <row r="17" customFormat="false" ht="13.8" hidden="false" customHeight="false" outlineLevel="0" collapsed="false">
      <c r="A17" s="53" t="s">
        <v>12</v>
      </c>
      <c r="B17" s="7" t="n">
        <v>0.75</v>
      </c>
      <c r="C17" s="8" t="s">
        <v>10</v>
      </c>
      <c r="D17" s="54" t="n">
        <v>23.1</v>
      </c>
      <c r="E17" s="54" t="n">
        <v>70</v>
      </c>
      <c r="F17" s="54" t="n">
        <v>28.6</v>
      </c>
      <c r="G17" s="54" t="n">
        <v>20.3</v>
      </c>
    </row>
    <row r="18" customFormat="false" ht="13.8" hidden="false" customHeight="false" outlineLevel="0" collapsed="false">
      <c r="A18" s="53" t="s">
        <v>12</v>
      </c>
      <c r="B18" s="7" t="n">
        <v>0.75</v>
      </c>
      <c r="C18" s="8" t="s">
        <v>8</v>
      </c>
      <c r="D18" s="54" t="n">
        <v>23.1</v>
      </c>
      <c r="E18" s="54" t="n">
        <v>70</v>
      </c>
      <c r="F18" s="54" t="n">
        <v>31</v>
      </c>
      <c r="G18" s="54" t="n">
        <v>20.5</v>
      </c>
    </row>
    <row r="19" customFormat="false" ht="13.8" hidden="false" customHeight="false" outlineLevel="0" collapsed="false">
      <c r="A19" s="53" t="s">
        <v>12</v>
      </c>
      <c r="B19" s="7" t="n">
        <v>0.75</v>
      </c>
      <c r="C19" s="8" t="s">
        <v>9</v>
      </c>
      <c r="D19" s="54" t="n">
        <v>23.1</v>
      </c>
      <c r="E19" s="54" t="n">
        <v>70</v>
      </c>
      <c r="F19" s="54" t="n">
        <v>29.7</v>
      </c>
      <c r="G19" s="54" t="n">
        <v>20.2</v>
      </c>
    </row>
    <row r="20" customFormat="false" ht="13.8" hidden="false" customHeight="false" outlineLevel="0" collapsed="false">
      <c r="A20" s="53" t="s">
        <v>13</v>
      </c>
      <c r="B20" s="7" t="n">
        <v>0.333333333333333</v>
      </c>
      <c r="C20" s="8" t="s">
        <v>10</v>
      </c>
      <c r="D20" s="54" t="n">
        <v>21.2</v>
      </c>
      <c r="E20" s="54" t="n">
        <v>83</v>
      </c>
      <c r="F20" s="54" t="n">
        <v>31.4</v>
      </c>
      <c r="G20" s="54" t="n">
        <v>19.1</v>
      </c>
    </row>
    <row r="21" customFormat="false" ht="13.8" hidden="false" customHeight="false" outlineLevel="0" collapsed="false">
      <c r="A21" s="53" t="s">
        <v>13</v>
      </c>
      <c r="B21" s="7" t="n">
        <v>0.333333333333333</v>
      </c>
      <c r="C21" s="8" t="s">
        <v>8</v>
      </c>
      <c r="D21" s="54" t="n">
        <v>21.2</v>
      </c>
      <c r="E21" s="54" t="n">
        <v>83</v>
      </c>
      <c r="F21" s="54" t="n">
        <v>30.3</v>
      </c>
      <c r="G21" s="54" t="n">
        <v>19.2</v>
      </c>
    </row>
    <row r="22" customFormat="false" ht="13.8" hidden="false" customHeight="false" outlineLevel="0" collapsed="false">
      <c r="A22" s="53" t="s">
        <v>13</v>
      </c>
      <c r="B22" s="7" t="n">
        <v>0.333333333333333</v>
      </c>
      <c r="C22" s="8" t="s">
        <v>9</v>
      </c>
      <c r="D22" s="54" t="n">
        <v>21.2</v>
      </c>
      <c r="E22" s="54" t="n">
        <v>83</v>
      </c>
      <c r="F22" s="54" t="n">
        <v>30.3</v>
      </c>
      <c r="G22" s="54" t="n">
        <v>19</v>
      </c>
    </row>
    <row r="23" customFormat="false" ht="13.8" hidden="false" customHeight="false" outlineLevel="0" collapsed="false">
      <c r="A23" s="53" t="s">
        <v>13</v>
      </c>
      <c r="B23" s="7" t="n">
        <v>0.416666666666667</v>
      </c>
      <c r="C23" s="8" t="s">
        <v>10</v>
      </c>
      <c r="D23" s="54" t="n">
        <v>27.2</v>
      </c>
      <c r="E23" s="54" t="n">
        <v>81</v>
      </c>
      <c r="F23" s="54" t="n">
        <v>26.5</v>
      </c>
      <c r="G23" s="54" t="n">
        <v>28.1</v>
      </c>
    </row>
    <row r="24" customFormat="false" ht="13.8" hidden="false" customHeight="false" outlineLevel="0" collapsed="false">
      <c r="A24" s="53" t="s">
        <v>13</v>
      </c>
      <c r="B24" s="7" t="n">
        <v>0.416666666666667</v>
      </c>
      <c r="C24" s="8" t="s">
        <v>8</v>
      </c>
      <c r="D24" s="54" t="n">
        <v>27.2</v>
      </c>
      <c r="E24" s="54" t="n">
        <v>81</v>
      </c>
      <c r="F24" s="54" t="n">
        <v>27.3</v>
      </c>
      <c r="G24" s="54" t="n">
        <v>30.2</v>
      </c>
    </row>
    <row r="25" customFormat="false" ht="13.8" hidden="false" customHeight="false" outlineLevel="0" collapsed="false">
      <c r="A25" s="53" t="s">
        <v>13</v>
      </c>
      <c r="B25" s="7" t="n">
        <v>0.416666666666667</v>
      </c>
      <c r="C25" s="8" t="s">
        <v>9</v>
      </c>
      <c r="D25" s="54" t="n">
        <v>27.2</v>
      </c>
      <c r="E25" s="54" t="n">
        <v>81</v>
      </c>
      <c r="F25" s="54" t="n">
        <v>27.8</v>
      </c>
      <c r="G25" s="54" t="n">
        <v>29.7</v>
      </c>
    </row>
    <row r="26" customFormat="false" ht="13.8" hidden="false" customHeight="false" outlineLevel="0" collapsed="false">
      <c r="A26" s="53" t="s">
        <v>13</v>
      </c>
      <c r="B26" s="7" t="n">
        <v>0.5</v>
      </c>
      <c r="C26" s="8" t="s">
        <v>10</v>
      </c>
      <c r="D26" s="54" t="n">
        <v>34.1</v>
      </c>
      <c r="E26" s="54" t="n">
        <v>5.1</v>
      </c>
      <c r="F26" s="54" t="n">
        <v>31.4</v>
      </c>
      <c r="G26" s="54" t="n">
        <v>19.8</v>
      </c>
    </row>
    <row r="27" customFormat="false" ht="13.8" hidden="false" customHeight="false" outlineLevel="0" collapsed="false">
      <c r="A27" s="53" t="s">
        <v>13</v>
      </c>
      <c r="B27" s="7" t="n">
        <v>0.5</v>
      </c>
      <c r="C27" s="8" t="s">
        <v>8</v>
      </c>
      <c r="D27" s="54" t="n">
        <v>34.1</v>
      </c>
      <c r="E27" s="54" t="n">
        <v>5.1</v>
      </c>
      <c r="F27" s="54" t="n">
        <v>32</v>
      </c>
      <c r="G27" s="54" t="n">
        <v>20</v>
      </c>
    </row>
    <row r="28" customFormat="false" ht="13.8" hidden="false" customHeight="false" outlineLevel="0" collapsed="false">
      <c r="A28" s="53" t="s">
        <v>13</v>
      </c>
      <c r="B28" s="7" t="n">
        <v>0.5</v>
      </c>
      <c r="C28" s="8" t="s">
        <v>9</v>
      </c>
      <c r="D28" s="54" t="n">
        <v>34.1</v>
      </c>
      <c r="E28" s="54" t="n">
        <v>5.1</v>
      </c>
      <c r="F28" s="54" t="n">
        <v>33</v>
      </c>
      <c r="G28" s="54" t="n">
        <v>18.9</v>
      </c>
    </row>
    <row r="29" customFormat="false" ht="13.8" hidden="false" customHeight="false" outlineLevel="0" collapsed="false">
      <c r="A29" s="53" t="s">
        <v>13</v>
      </c>
      <c r="B29" s="7" t="n">
        <v>0.583333333333333</v>
      </c>
      <c r="C29" s="8" t="s">
        <v>10</v>
      </c>
      <c r="D29" s="54" t="n">
        <v>31.1</v>
      </c>
      <c r="E29" s="54" t="n">
        <v>54</v>
      </c>
      <c r="F29" s="54" t="n">
        <v>16.7</v>
      </c>
      <c r="G29" s="54" t="n">
        <v>31.2</v>
      </c>
    </row>
    <row r="30" customFormat="false" ht="13.8" hidden="false" customHeight="false" outlineLevel="0" collapsed="false">
      <c r="A30" s="53" t="s">
        <v>13</v>
      </c>
      <c r="B30" s="7" t="n">
        <v>0.583333333333333</v>
      </c>
      <c r="C30" s="8" t="s">
        <v>8</v>
      </c>
      <c r="D30" s="54" t="n">
        <v>31.1</v>
      </c>
      <c r="E30" s="54" t="n">
        <v>54</v>
      </c>
      <c r="F30" s="54" t="n">
        <v>17.2</v>
      </c>
      <c r="G30" s="54" t="n">
        <v>31.4</v>
      </c>
    </row>
    <row r="31" customFormat="false" ht="13.8" hidden="false" customHeight="false" outlineLevel="0" collapsed="false">
      <c r="A31" s="53" t="s">
        <v>13</v>
      </c>
      <c r="B31" s="7" t="n">
        <v>0.583333333333333</v>
      </c>
      <c r="C31" s="8" t="s">
        <v>9</v>
      </c>
      <c r="D31" s="54" t="n">
        <v>31.1</v>
      </c>
      <c r="E31" s="54" t="n">
        <v>54</v>
      </c>
      <c r="F31" s="54" t="n">
        <v>16.1</v>
      </c>
      <c r="G31" s="54" t="n">
        <v>32</v>
      </c>
    </row>
    <row r="32" customFormat="false" ht="13.8" hidden="false" customHeight="false" outlineLevel="0" collapsed="false">
      <c r="A32" s="53" t="s">
        <v>13</v>
      </c>
      <c r="B32" s="7" t="n">
        <v>0.666666666666667</v>
      </c>
      <c r="C32" s="8" t="s">
        <v>10</v>
      </c>
      <c r="D32" s="54" t="n">
        <v>26.9</v>
      </c>
      <c r="E32" s="54" t="n">
        <v>58</v>
      </c>
      <c r="F32" s="54" t="n">
        <v>15.9</v>
      </c>
      <c r="G32" s="54" t="n">
        <v>26.3</v>
      </c>
    </row>
    <row r="33" customFormat="false" ht="13.8" hidden="false" customHeight="false" outlineLevel="0" collapsed="false">
      <c r="A33" s="53" t="s">
        <v>13</v>
      </c>
      <c r="B33" s="7" t="n">
        <v>0.666666666666667</v>
      </c>
      <c r="C33" s="8" t="s">
        <v>8</v>
      </c>
      <c r="D33" s="54" t="n">
        <v>26.9</v>
      </c>
      <c r="E33" s="54" t="n">
        <v>58</v>
      </c>
      <c r="F33" s="54" t="n">
        <v>15.7</v>
      </c>
      <c r="G33" s="54" t="n">
        <v>26.2</v>
      </c>
    </row>
    <row r="34" customFormat="false" ht="13.8" hidden="false" customHeight="false" outlineLevel="0" collapsed="false">
      <c r="A34" s="53" t="s">
        <v>13</v>
      </c>
      <c r="B34" s="7" t="n">
        <v>0.666666666666667</v>
      </c>
      <c r="C34" s="8" t="s">
        <v>9</v>
      </c>
      <c r="D34" s="54" t="n">
        <v>26.9</v>
      </c>
      <c r="E34" s="54" t="n">
        <v>58</v>
      </c>
      <c r="F34" s="54" t="n">
        <v>15.7</v>
      </c>
      <c r="G34" s="54" t="n">
        <v>26.3</v>
      </c>
    </row>
    <row r="35" customFormat="false" ht="13.8" hidden="false" customHeight="false" outlineLevel="0" collapsed="false">
      <c r="A35" s="53" t="s">
        <v>13</v>
      </c>
      <c r="B35" s="7" t="n">
        <v>0.75</v>
      </c>
      <c r="C35" s="8" t="s">
        <v>10</v>
      </c>
      <c r="D35" s="54" t="n">
        <v>23.9</v>
      </c>
      <c r="E35" s="54" t="n">
        <v>67</v>
      </c>
      <c r="F35" s="54" t="n">
        <v>16.7</v>
      </c>
      <c r="G35" s="54" t="n">
        <v>21.5</v>
      </c>
    </row>
    <row r="36" customFormat="false" ht="13.8" hidden="false" customHeight="false" outlineLevel="0" collapsed="false">
      <c r="A36" s="53" t="s">
        <v>13</v>
      </c>
      <c r="B36" s="7" t="n">
        <v>0.75</v>
      </c>
      <c r="C36" s="8" t="s">
        <v>8</v>
      </c>
      <c r="D36" s="54" t="n">
        <v>23.9</v>
      </c>
      <c r="E36" s="54" t="n">
        <v>67</v>
      </c>
      <c r="F36" s="54" t="n">
        <v>17.6</v>
      </c>
      <c r="G36" s="54" t="n">
        <v>21.7</v>
      </c>
    </row>
    <row r="37" customFormat="false" ht="13.8" hidden="false" customHeight="false" outlineLevel="0" collapsed="false">
      <c r="A37" s="53" t="s">
        <v>13</v>
      </c>
      <c r="B37" s="7" t="n">
        <v>0.75</v>
      </c>
      <c r="C37" s="8" t="s">
        <v>9</v>
      </c>
      <c r="D37" s="54" t="n">
        <v>23.9</v>
      </c>
      <c r="E37" s="54" t="n">
        <v>67</v>
      </c>
      <c r="F37" s="54" t="n">
        <v>16.5</v>
      </c>
      <c r="G37" s="54" t="n">
        <v>21.5</v>
      </c>
    </row>
    <row r="38" customFormat="false" ht="13.8" hidden="false" customHeight="false" outlineLevel="0" collapsed="false">
      <c r="A38" s="53" t="s">
        <v>14</v>
      </c>
      <c r="B38" s="7" t="n">
        <v>0.333333333333333</v>
      </c>
      <c r="C38" s="8" t="s">
        <v>10</v>
      </c>
      <c r="D38" s="54" t="n">
        <v>21</v>
      </c>
      <c r="E38" s="54" t="n">
        <v>81</v>
      </c>
      <c r="F38" s="54" t="n">
        <v>21.8</v>
      </c>
      <c r="G38" s="54" t="n">
        <v>18.9</v>
      </c>
    </row>
    <row r="39" customFormat="false" ht="13.8" hidden="false" customHeight="false" outlineLevel="0" collapsed="false">
      <c r="A39" s="53" t="s">
        <v>14</v>
      </c>
      <c r="B39" s="7" t="n">
        <v>0.333333333333333</v>
      </c>
      <c r="C39" s="8" t="s">
        <v>8</v>
      </c>
      <c r="D39" s="54" t="n">
        <v>21</v>
      </c>
      <c r="E39" s="54" t="n">
        <v>81</v>
      </c>
      <c r="F39" s="54" t="n">
        <v>22.7</v>
      </c>
      <c r="G39" s="54" t="n">
        <v>19</v>
      </c>
    </row>
    <row r="40" customFormat="false" ht="13.8" hidden="false" customHeight="false" outlineLevel="0" collapsed="false">
      <c r="A40" s="53" t="s">
        <v>14</v>
      </c>
      <c r="B40" s="7" t="n">
        <v>0.333333333333333</v>
      </c>
      <c r="C40" s="8" t="s">
        <v>9</v>
      </c>
      <c r="D40" s="54" t="n">
        <v>21</v>
      </c>
      <c r="E40" s="54" t="n">
        <v>81</v>
      </c>
      <c r="F40" s="54" t="n">
        <v>22.1</v>
      </c>
      <c r="G40" s="54" t="n">
        <v>19.1</v>
      </c>
    </row>
    <row r="41" customFormat="false" ht="13.8" hidden="false" customHeight="false" outlineLevel="0" collapsed="false">
      <c r="A41" s="53" t="s">
        <v>14</v>
      </c>
      <c r="B41" s="7" t="n">
        <v>0.416666666666667</v>
      </c>
      <c r="C41" s="8" t="s">
        <v>10</v>
      </c>
      <c r="D41" s="54" t="n">
        <v>22.2</v>
      </c>
      <c r="E41" s="54" t="n">
        <v>81</v>
      </c>
      <c r="F41" s="54" t="n">
        <v>21.8</v>
      </c>
      <c r="G41" s="54" t="n">
        <v>19.3</v>
      </c>
    </row>
    <row r="42" customFormat="false" ht="13.8" hidden="false" customHeight="false" outlineLevel="0" collapsed="false">
      <c r="A42" s="53" t="s">
        <v>14</v>
      </c>
      <c r="B42" s="7" t="n">
        <v>0.416666666666667</v>
      </c>
      <c r="C42" s="8" t="s">
        <v>8</v>
      </c>
      <c r="D42" s="54" t="n">
        <v>22.2</v>
      </c>
      <c r="E42" s="54" t="n">
        <v>81</v>
      </c>
      <c r="F42" s="54" t="n">
        <v>22.9</v>
      </c>
      <c r="G42" s="54" t="n">
        <v>19.4</v>
      </c>
    </row>
    <row r="43" customFormat="false" ht="13.8" hidden="false" customHeight="false" outlineLevel="0" collapsed="false">
      <c r="A43" s="53" t="s">
        <v>14</v>
      </c>
      <c r="B43" s="7" t="n">
        <v>0.416666666666667</v>
      </c>
      <c r="C43" s="8" t="s">
        <v>9</v>
      </c>
      <c r="D43" s="54" t="n">
        <v>22.2</v>
      </c>
      <c r="E43" s="54" t="n">
        <v>81</v>
      </c>
      <c r="F43" s="54" t="n">
        <v>23.5</v>
      </c>
      <c r="G43" s="54" t="n">
        <v>19.5</v>
      </c>
    </row>
    <row r="44" customFormat="false" ht="13.8" hidden="false" customHeight="false" outlineLevel="0" collapsed="false">
      <c r="A44" s="53" t="s">
        <v>14</v>
      </c>
      <c r="B44" s="7" t="n">
        <v>0.5</v>
      </c>
      <c r="C44" s="8" t="s">
        <v>10</v>
      </c>
      <c r="D44" s="54" t="n">
        <v>22.6</v>
      </c>
      <c r="E44" s="54" t="n">
        <v>79</v>
      </c>
      <c r="F44" s="54" t="n">
        <v>22.1</v>
      </c>
      <c r="G44" s="54" t="n">
        <v>19.7</v>
      </c>
    </row>
    <row r="45" customFormat="false" ht="13.8" hidden="false" customHeight="false" outlineLevel="0" collapsed="false">
      <c r="A45" s="53" t="s">
        <v>14</v>
      </c>
      <c r="B45" s="7" t="n">
        <v>0.5</v>
      </c>
      <c r="C45" s="8" t="s">
        <v>8</v>
      </c>
      <c r="D45" s="54" t="n">
        <v>22.6</v>
      </c>
      <c r="E45" s="54" t="n">
        <v>79</v>
      </c>
      <c r="F45" s="54" t="n">
        <v>22.3</v>
      </c>
      <c r="G45" s="54" t="n">
        <v>19.5</v>
      </c>
    </row>
    <row r="46" customFormat="false" ht="13.8" hidden="false" customHeight="false" outlineLevel="0" collapsed="false">
      <c r="A46" s="53" t="s">
        <v>14</v>
      </c>
      <c r="B46" s="7" t="n">
        <v>0.5</v>
      </c>
      <c r="C46" s="8" t="s">
        <v>9</v>
      </c>
      <c r="D46" s="54" t="n">
        <v>22.6</v>
      </c>
      <c r="E46" s="54" t="n">
        <v>79</v>
      </c>
      <c r="F46" s="54" t="n">
        <v>21.7</v>
      </c>
      <c r="G46" s="54" t="n">
        <v>20</v>
      </c>
    </row>
    <row r="47" customFormat="false" ht="13.8" hidden="false" customHeight="false" outlineLevel="0" collapsed="false">
      <c r="A47" s="53" t="s">
        <v>14</v>
      </c>
      <c r="B47" s="7" t="n">
        <v>0.583333333333333</v>
      </c>
      <c r="C47" s="8" t="s">
        <v>10</v>
      </c>
      <c r="D47" s="54" t="n">
        <v>23.9</v>
      </c>
      <c r="E47" s="54" t="n">
        <v>77</v>
      </c>
      <c r="F47" s="54" t="n">
        <v>21.4</v>
      </c>
      <c r="G47" s="54" t="n">
        <v>20.7</v>
      </c>
    </row>
    <row r="48" customFormat="false" ht="13.8" hidden="false" customHeight="false" outlineLevel="0" collapsed="false">
      <c r="A48" s="53" t="s">
        <v>14</v>
      </c>
      <c r="B48" s="7" t="n">
        <v>0.583333333333333</v>
      </c>
      <c r="C48" s="8" t="s">
        <v>8</v>
      </c>
      <c r="D48" s="54" t="n">
        <v>23.9</v>
      </c>
      <c r="E48" s="54" t="n">
        <v>77</v>
      </c>
      <c r="F48" s="54" t="n">
        <v>21.9</v>
      </c>
      <c r="G48" s="54" t="n">
        <v>20.9</v>
      </c>
    </row>
    <row r="49" customFormat="false" ht="13.8" hidden="false" customHeight="false" outlineLevel="0" collapsed="false">
      <c r="A49" s="53" t="s">
        <v>14</v>
      </c>
      <c r="B49" s="7" t="n">
        <v>0.583333333333333</v>
      </c>
      <c r="C49" s="8" t="s">
        <v>9</v>
      </c>
      <c r="D49" s="54" t="n">
        <v>23.9</v>
      </c>
      <c r="E49" s="54" t="n">
        <v>77</v>
      </c>
      <c r="F49" s="54" t="n">
        <v>27</v>
      </c>
      <c r="G49" s="54" t="n">
        <v>21</v>
      </c>
    </row>
    <row r="50" customFormat="false" ht="13.8" hidden="false" customHeight="false" outlineLevel="0" collapsed="false">
      <c r="A50" s="53" t="s">
        <v>14</v>
      </c>
      <c r="B50" s="7" t="n">
        <v>0.666666666666667</v>
      </c>
      <c r="C50" s="8" t="s">
        <v>10</v>
      </c>
      <c r="D50" s="54" t="n">
        <v>24</v>
      </c>
      <c r="E50" s="54" t="n">
        <v>74</v>
      </c>
      <c r="F50" s="54" t="n">
        <v>21.9</v>
      </c>
      <c r="G50" s="54" t="n">
        <v>20.9</v>
      </c>
    </row>
    <row r="51" customFormat="false" ht="13.8" hidden="false" customHeight="false" outlineLevel="0" collapsed="false">
      <c r="A51" s="53" t="s">
        <v>14</v>
      </c>
      <c r="B51" s="7" t="n">
        <v>0.666666666666667</v>
      </c>
      <c r="C51" s="8" t="s">
        <v>8</v>
      </c>
      <c r="D51" s="54" t="n">
        <v>24</v>
      </c>
      <c r="E51" s="54" t="n">
        <v>74</v>
      </c>
      <c r="F51" s="54" t="n">
        <v>21.6</v>
      </c>
      <c r="G51" s="54" t="n">
        <v>21</v>
      </c>
    </row>
    <row r="52" customFormat="false" ht="13.8" hidden="false" customHeight="false" outlineLevel="0" collapsed="false">
      <c r="A52" s="53" t="s">
        <v>14</v>
      </c>
      <c r="B52" s="7" t="n">
        <v>0.666666666666667</v>
      </c>
      <c r="C52" s="8" t="s">
        <v>9</v>
      </c>
      <c r="D52" s="54" t="n">
        <v>24</v>
      </c>
      <c r="E52" s="54" t="n">
        <v>74</v>
      </c>
      <c r="F52" s="54" t="n">
        <v>21</v>
      </c>
      <c r="G52" s="54" t="n">
        <v>21.1</v>
      </c>
    </row>
    <row r="53" customFormat="false" ht="13.8" hidden="false" customHeight="false" outlineLevel="0" collapsed="false">
      <c r="A53" s="53" t="s">
        <v>14</v>
      </c>
      <c r="B53" s="7" t="n">
        <v>0.75</v>
      </c>
      <c r="C53" s="8" t="s">
        <v>10</v>
      </c>
      <c r="D53" s="54" t="n">
        <v>22.7</v>
      </c>
      <c r="E53" s="54" t="n">
        <v>76</v>
      </c>
      <c r="F53" s="54" t="n">
        <v>21.6</v>
      </c>
      <c r="G53" s="54" t="n">
        <v>20.1</v>
      </c>
    </row>
    <row r="54" customFormat="false" ht="13.8" hidden="false" customHeight="false" outlineLevel="0" collapsed="false">
      <c r="A54" s="53" t="s">
        <v>14</v>
      </c>
      <c r="B54" s="7" t="n">
        <v>0.75</v>
      </c>
      <c r="C54" s="8" t="s">
        <v>8</v>
      </c>
      <c r="D54" s="54" t="n">
        <v>22.7</v>
      </c>
      <c r="E54" s="54" t="n">
        <v>76</v>
      </c>
      <c r="F54" s="54" t="n">
        <v>21.4</v>
      </c>
      <c r="G54" s="54" t="n">
        <v>19.9</v>
      </c>
    </row>
    <row r="55" customFormat="false" ht="13.8" hidden="false" customHeight="false" outlineLevel="0" collapsed="false">
      <c r="A55" s="53" t="s">
        <v>14</v>
      </c>
      <c r="B55" s="7" t="n">
        <v>0.75</v>
      </c>
      <c r="C55" s="8" t="s">
        <v>9</v>
      </c>
      <c r="D55" s="54" t="n">
        <v>22.7</v>
      </c>
      <c r="E55" s="54" t="n">
        <v>76</v>
      </c>
      <c r="F55" s="54" t="n">
        <v>21.3</v>
      </c>
      <c r="G55" s="54" t="n">
        <v>20</v>
      </c>
    </row>
    <row r="56" customFormat="false" ht="13.8" hidden="false" customHeight="false" outlineLevel="0" collapsed="false">
      <c r="A56" s="53" t="s">
        <v>15</v>
      </c>
      <c r="B56" s="7" t="n">
        <v>0.333333333333333</v>
      </c>
      <c r="C56" s="8" t="s">
        <v>10</v>
      </c>
      <c r="D56" s="54" t="n">
        <v>28</v>
      </c>
      <c r="E56" s="54" t="n">
        <v>73</v>
      </c>
      <c r="F56" s="54" t="n">
        <v>20.1</v>
      </c>
      <c r="G56" s="54" t="n">
        <v>19.5</v>
      </c>
    </row>
    <row r="57" customFormat="false" ht="13.8" hidden="false" customHeight="false" outlineLevel="0" collapsed="false">
      <c r="A57" s="53" t="s">
        <v>15</v>
      </c>
      <c r="B57" s="7" t="n">
        <v>0.333333333333333</v>
      </c>
      <c r="C57" s="8" t="s">
        <v>8</v>
      </c>
      <c r="D57" s="54" t="n">
        <v>28</v>
      </c>
      <c r="E57" s="54" t="n">
        <v>73</v>
      </c>
      <c r="F57" s="54" t="n">
        <v>19.4</v>
      </c>
      <c r="G57" s="54" t="n">
        <v>20</v>
      </c>
    </row>
    <row r="58" customFormat="false" ht="13.8" hidden="false" customHeight="false" outlineLevel="0" collapsed="false">
      <c r="A58" s="53" t="s">
        <v>15</v>
      </c>
      <c r="B58" s="7" t="n">
        <v>0.333333333333333</v>
      </c>
      <c r="C58" s="8" t="s">
        <v>9</v>
      </c>
      <c r="D58" s="54" t="n">
        <v>28</v>
      </c>
      <c r="E58" s="54" t="n">
        <v>73</v>
      </c>
      <c r="F58" s="54" t="n">
        <v>14.4</v>
      </c>
      <c r="G58" s="54" t="n">
        <v>20</v>
      </c>
    </row>
    <row r="59" customFormat="false" ht="13.8" hidden="false" customHeight="false" outlineLevel="0" collapsed="false">
      <c r="A59" s="53" t="s">
        <v>15</v>
      </c>
      <c r="B59" s="7" t="n">
        <v>0.416666666666667</v>
      </c>
      <c r="C59" s="8" t="s">
        <v>10</v>
      </c>
      <c r="D59" s="54" t="n">
        <v>29.6</v>
      </c>
      <c r="E59" s="54" t="n">
        <v>66</v>
      </c>
      <c r="F59" s="54" t="n">
        <v>14.6</v>
      </c>
      <c r="G59" s="54" t="n">
        <v>31.4</v>
      </c>
    </row>
    <row r="60" customFormat="false" ht="13.8" hidden="false" customHeight="false" outlineLevel="0" collapsed="false">
      <c r="A60" s="53" t="s">
        <v>15</v>
      </c>
      <c r="B60" s="7" t="n">
        <v>0.416666666666667</v>
      </c>
      <c r="C60" s="8" t="s">
        <v>8</v>
      </c>
      <c r="D60" s="54" t="n">
        <v>29.6</v>
      </c>
      <c r="E60" s="54" t="n">
        <v>66</v>
      </c>
      <c r="F60" s="54" t="n">
        <v>14.1</v>
      </c>
      <c r="G60" s="54" t="n">
        <v>34</v>
      </c>
    </row>
    <row r="61" customFormat="false" ht="13.8" hidden="false" customHeight="false" outlineLevel="0" collapsed="false">
      <c r="A61" s="53" t="s">
        <v>15</v>
      </c>
      <c r="B61" s="7" t="n">
        <v>0.416666666666667</v>
      </c>
      <c r="C61" s="8" t="s">
        <v>9</v>
      </c>
      <c r="D61" s="54" t="n">
        <v>29.6</v>
      </c>
      <c r="E61" s="54" t="n">
        <v>66</v>
      </c>
      <c r="F61" s="54" t="n">
        <v>14.1</v>
      </c>
      <c r="G61" s="54" t="n">
        <v>34.1</v>
      </c>
    </row>
    <row r="62" customFormat="false" ht="13.8" hidden="false" customHeight="false" outlineLevel="0" collapsed="false">
      <c r="A62" s="53" t="s">
        <v>15</v>
      </c>
      <c r="B62" s="7" t="n">
        <v>0.5</v>
      </c>
      <c r="C62" s="8" t="s">
        <v>10</v>
      </c>
      <c r="D62" s="54" t="n">
        <v>32.8</v>
      </c>
      <c r="E62" s="54" t="n">
        <v>43</v>
      </c>
      <c r="F62" s="54" t="n">
        <v>12</v>
      </c>
      <c r="G62" s="54" t="n">
        <v>29.3</v>
      </c>
    </row>
    <row r="63" customFormat="false" ht="13.8" hidden="false" customHeight="false" outlineLevel="0" collapsed="false">
      <c r="A63" s="53" t="s">
        <v>15</v>
      </c>
      <c r="B63" s="7" t="n">
        <v>0.5</v>
      </c>
      <c r="C63" s="8" t="s">
        <v>8</v>
      </c>
      <c r="D63" s="54" t="n">
        <v>32.8</v>
      </c>
      <c r="E63" s="54" t="n">
        <v>43</v>
      </c>
      <c r="F63" s="54" t="n">
        <v>12.5</v>
      </c>
      <c r="G63" s="54" t="n">
        <v>29</v>
      </c>
    </row>
    <row r="64" customFormat="false" ht="13.8" hidden="false" customHeight="false" outlineLevel="0" collapsed="false">
      <c r="A64" s="53" t="s">
        <v>15</v>
      </c>
      <c r="B64" s="7" t="n">
        <v>0.5</v>
      </c>
      <c r="C64" s="8" t="s">
        <v>9</v>
      </c>
      <c r="D64" s="54" t="n">
        <v>32.8</v>
      </c>
      <c r="E64" s="54" t="n">
        <v>43</v>
      </c>
      <c r="F64" s="54" t="n">
        <v>12.4</v>
      </c>
      <c r="G64" s="54" t="n">
        <v>30.6</v>
      </c>
    </row>
    <row r="65" customFormat="false" ht="13.8" hidden="false" customHeight="false" outlineLevel="0" collapsed="false">
      <c r="A65" s="53" t="s">
        <v>15</v>
      </c>
      <c r="B65" s="7" t="n">
        <v>0.583333333333333</v>
      </c>
      <c r="C65" s="8" t="s">
        <v>10</v>
      </c>
      <c r="D65" s="54" t="n">
        <v>29.3</v>
      </c>
      <c r="E65" s="54" t="n">
        <v>53</v>
      </c>
      <c r="F65" s="54" t="n">
        <v>10.9</v>
      </c>
      <c r="G65" s="54" t="n">
        <v>30.9</v>
      </c>
    </row>
    <row r="66" customFormat="false" ht="13.8" hidden="false" customHeight="false" outlineLevel="0" collapsed="false">
      <c r="A66" s="53" t="s">
        <v>15</v>
      </c>
      <c r="B66" s="7" t="n">
        <v>0.583333333333333</v>
      </c>
      <c r="C66" s="8" t="s">
        <v>8</v>
      </c>
      <c r="D66" s="54" t="n">
        <v>29.3</v>
      </c>
      <c r="E66" s="54" t="n">
        <v>53</v>
      </c>
      <c r="F66" s="54" t="n">
        <v>11.7</v>
      </c>
      <c r="G66" s="54" t="n">
        <v>30.6</v>
      </c>
    </row>
    <row r="67" customFormat="false" ht="13.8" hidden="false" customHeight="false" outlineLevel="0" collapsed="false">
      <c r="A67" s="53" t="s">
        <v>15</v>
      </c>
      <c r="B67" s="7" t="n">
        <v>0.583333333333333</v>
      </c>
      <c r="C67" s="8" t="s">
        <v>9</v>
      </c>
      <c r="D67" s="54" t="n">
        <v>29.3</v>
      </c>
      <c r="E67" s="54" t="n">
        <v>53</v>
      </c>
      <c r="F67" s="54" t="n">
        <v>11.2</v>
      </c>
      <c r="G67" s="54" t="n">
        <v>30.2</v>
      </c>
    </row>
    <row r="68" customFormat="false" ht="13.8" hidden="false" customHeight="false" outlineLevel="0" collapsed="false">
      <c r="A68" s="53" t="s">
        <v>15</v>
      </c>
      <c r="B68" s="7" t="n">
        <v>0.666666666666667</v>
      </c>
      <c r="C68" s="23" t="s">
        <v>10</v>
      </c>
      <c r="D68" s="54" t="n">
        <v>27.1</v>
      </c>
      <c r="E68" s="54" t="n">
        <v>58</v>
      </c>
      <c r="F68" s="54" t="n">
        <v>11.6</v>
      </c>
      <c r="G68" s="54" t="n">
        <v>26.3</v>
      </c>
    </row>
    <row r="69" customFormat="false" ht="13.8" hidden="false" customHeight="false" outlineLevel="0" collapsed="false">
      <c r="A69" s="53" t="s">
        <v>15</v>
      </c>
      <c r="B69" s="7" t="n">
        <v>0.666666666666667</v>
      </c>
      <c r="C69" s="23" t="s">
        <v>8</v>
      </c>
      <c r="D69" s="54" t="n">
        <v>27.1</v>
      </c>
      <c r="E69" s="54" t="n">
        <v>58</v>
      </c>
      <c r="F69" s="54" t="n">
        <v>11.2</v>
      </c>
      <c r="G69" s="54" t="n">
        <v>26.3</v>
      </c>
    </row>
    <row r="70" customFormat="false" ht="13.8" hidden="false" customHeight="false" outlineLevel="0" collapsed="false">
      <c r="A70" s="53" t="s">
        <v>15</v>
      </c>
      <c r="B70" s="7" t="n">
        <v>0.666666666666667</v>
      </c>
      <c r="C70" s="23" t="s">
        <v>9</v>
      </c>
      <c r="D70" s="54" t="n">
        <v>27.1</v>
      </c>
      <c r="E70" s="54" t="n">
        <v>58</v>
      </c>
      <c r="F70" s="54" t="n">
        <v>11</v>
      </c>
      <c r="G70" s="54" t="n">
        <v>26.3</v>
      </c>
    </row>
    <row r="71" customFormat="false" ht="13.8" hidden="false" customHeight="false" outlineLevel="0" collapsed="false">
      <c r="A71" s="53" t="s">
        <v>15</v>
      </c>
      <c r="B71" s="7" t="n">
        <v>0.75</v>
      </c>
      <c r="C71" s="23" t="s">
        <v>10</v>
      </c>
      <c r="D71" s="54" t="n">
        <v>24.3</v>
      </c>
      <c r="E71" s="54" t="n">
        <v>65</v>
      </c>
      <c r="F71" s="54" t="n">
        <v>11.6</v>
      </c>
      <c r="G71" s="54" t="n">
        <v>24.3</v>
      </c>
    </row>
    <row r="72" customFormat="false" ht="13.8" hidden="false" customHeight="false" outlineLevel="0" collapsed="false">
      <c r="A72" s="53" t="s">
        <v>15</v>
      </c>
      <c r="B72" s="7" t="n">
        <v>0.75</v>
      </c>
      <c r="C72" s="23" t="s">
        <v>8</v>
      </c>
      <c r="D72" s="54" t="n">
        <v>24.3</v>
      </c>
      <c r="E72" s="54" t="n">
        <v>65</v>
      </c>
      <c r="F72" s="54" t="n">
        <v>12.3</v>
      </c>
      <c r="G72" s="54" t="n">
        <v>24.6</v>
      </c>
    </row>
    <row r="73" customFormat="false" ht="13.8" hidden="false" customHeight="false" outlineLevel="0" collapsed="false">
      <c r="A73" s="53" t="s">
        <v>15</v>
      </c>
      <c r="B73" s="7" t="n">
        <v>0.75</v>
      </c>
      <c r="C73" s="23" t="s">
        <v>9</v>
      </c>
      <c r="D73" s="54" t="n">
        <v>24.3</v>
      </c>
      <c r="E73" s="54" t="n">
        <v>65</v>
      </c>
      <c r="F73" s="54" t="n">
        <v>12</v>
      </c>
      <c r="G73" s="54" t="n">
        <v>23.7</v>
      </c>
    </row>
    <row r="74" customFormat="false" ht="13.8" hidden="false" customHeight="false" outlineLevel="0" collapsed="false">
      <c r="A74" s="53" t="s">
        <v>16</v>
      </c>
      <c r="B74" s="7" t="n">
        <v>0.333333333333333</v>
      </c>
      <c r="C74" s="23" t="s">
        <v>10</v>
      </c>
      <c r="D74" s="54" t="n">
        <v>21.6</v>
      </c>
      <c r="E74" s="54" t="n">
        <v>78</v>
      </c>
      <c r="F74" s="54" t="n">
        <v>12.1</v>
      </c>
      <c r="G74" s="54" t="n">
        <v>19</v>
      </c>
    </row>
    <row r="75" customFormat="false" ht="13.8" hidden="false" customHeight="false" outlineLevel="0" collapsed="false">
      <c r="A75" s="53" t="s">
        <v>16</v>
      </c>
      <c r="B75" s="7" t="n">
        <v>0.333333333333333</v>
      </c>
      <c r="C75" s="23" t="s">
        <v>8</v>
      </c>
      <c r="D75" s="54" t="n">
        <v>21.6</v>
      </c>
      <c r="E75" s="54" t="n">
        <v>78</v>
      </c>
      <c r="F75" s="54" t="n">
        <v>12.5</v>
      </c>
      <c r="G75" s="54" t="n">
        <v>19.2</v>
      </c>
    </row>
    <row r="76" customFormat="false" ht="13.8" hidden="false" customHeight="false" outlineLevel="0" collapsed="false">
      <c r="A76" s="53" t="s">
        <v>16</v>
      </c>
      <c r="B76" s="7" t="n">
        <v>0.333333333333333</v>
      </c>
      <c r="C76" s="23" t="s">
        <v>9</v>
      </c>
      <c r="D76" s="54" t="n">
        <v>21.6</v>
      </c>
      <c r="E76" s="54" t="n">
        <v>78</v>
      </c>
      <c r="F76" s="54" t="n">
        <v>12.1</v>
      </c>
      <c r="G76" s="54" t="n">
        <v>19.3</v>
      </c>
    </row>
    <row r="77" customFormat="false" ht="13.8" hidden="false" customHeight="false" outlineLevel="0" collapsed="false">
      <c r="A77" s="53" t="s">
        <v>16</v>
      </c>
      <c r="B77" s="7" t="n">
        <v>0.416666666666667</v>
      </c>
      <c r="C77" s="23" t="s">
        <v>10</v>
      </c>
      <c r="D77" s="54" t="n">
        <v>29.1</v>
      </c>
      <c r="E77" s="54" t="n">
        <v>64</v>
      </c>
      <c r="F77" s="54" t="n">
        <v>12.3</v>
      </c>
      <c r="G77" s="54" t="n">
        <v>27.4</v>
      </c>
    </row>
    <row r="78" customFormat="false" ht="13.8" hidden="false" customHeight="false" outlineLevel="0" collapsed="false">
      <c r="A78" s="53" t="s">
        <v>16</v>
      </c>
      <c r="B78" s="7" t="n">
        <v>0.416666666666667</v>
      </c>
      <c r="C78" s="23" t="s">
        <v>8</v>
      </c>
      <c r="D78" s="54" t="n">
        <v>29.1</v>
      </c>
      <c r="E78" s="54" t="n">
        <v>64</v>
      </c>
      <c r="F78" s="54" t="n">
        <v>12.4</v>
      </c>
      <c r="G78" s="54" t="n">
        <v>27.9</v>
      </c>
    </row>
    <row r="79" customFormat="false" ht="13.8" hidden="false" customHeight="false" outlineLevel="0" collapsed="false">
      <c r="A79" s="53" t="s">
        <v>16</v>
      </c>
      <c r="B79" s="7" t="n">
        <v>0.416666666666667</v>
      </c>
      <c r="C79" s="23" t="s">
        <v>9</v>
      </c>
      <c r="D79" s="54" t="n">
        <v>29.1</v>
      </c>
      <c r="E79" s="54" t="n">
        <v>64</v>
      </c>
      <c r="F79" s="54" t="n">
        <v>12.3</v>
      </c>
      <c r="G79" s="54" t="n">
        <v>29.7</v>
      </c>
    </row>
    <row r="80" customFormat="false" ht="13.8" hidden="false" customHeight="false" outlineLevel="0" collapsed="false">
      <c r="A80" s="53" t="s">
        <v>16</v>
      </c>
      <c r="B80" s="7" t="n">
        <v>0.5</v>
      </c>
      <c r="C80" s="23" t="s">
        <v>10</v>
      </c>
      <c r="D80" s="54" t="n">
        <v>21.6</v>
      </c>
      <c r="E80" s="54" t="n">
        <v>78</v>
      </c>
      <c r="F80" s="54" t="n">
        <v>12.1</v>
      </c>
      <c r="G80" s="54" t="n">
        <v>19</v>
      </c>
    </row>
    <row r="81" customFormat="false" ht="13.8" hidden="false" customHeight="false" outlineLevel="0" collapsed="false">
      <c r="A81" s="53" t="s">
        <v>16</v>
      </c>
      <c r="B81" s="7" t="n">
        <v>0.5</v>
      </c>
      <c r="C81" s="23" t="s">
        <v>8</v>
      </c>
      <c r="D81" s="54" t="n">
        <v>21.6</v>
      </c>
      <c r="E81" s="54" t="n">
        <v>78</v>
      </c>
      <c r="F81" s="54" t="n">
        <v>12.5</v>
      </c>
      <c r="G81" s="54" t="n">
        <v>19.2</v>
      </c>
    </row>
    <row r="82" customFormat="false" ht="13.8" hidden="false" customHeight="false" outlineLevel="0" collapsed="false">
      <c r="A82" s="53" t="s">
        <v>16</v>
      </c>
      <c r="B82" s="7" t="n">
        <v>0.5</v>
      </c>
      <c r="C82" s="23" t="s">
        <v>9</v>
      </c>
      <c r="D82" s="54" t="n">
        <v>21.6</v>
      </c>
      <c r="E82" s="54" t="n">
        <v>78</v>
      </c>
      <c r="F82" s="54" t="n">
        <v>12.1</v>
      </c>
      <c r="G82" s="54" t="n">
        <v>19.3</v>
      </c>
    </row>
    <row r="83" customFormat="false" ht="13.8" hidden="false" customHeight="false" outlineLevel="0" collapsed="false">
      <c r="A83" s="53" t="s">
        <v>16</v>
      </c>
      <c r="B83" s="7" t="n">
        <v>0.583333333333333</v>
      </c>
      <c r="C83" s="23" t="s">
        <v>10</v>
      </c>
      <c r="D83" s="54" t="n">
        <v>29.1</v>
      </c>
      <c r="E83" s="54" t="n">
        <v>64</v>
      </c>
      <c r="F83" s="54" t="n">
        <v>12.3</v>
      </c>
      <c r="G83" s="54" t="n">
        <v>27.4</v>
      </c>
    </row>
    <row r="84" customFormat="false" ht="13.8" hidden="false" customHeight="false" outlineLevel="0" collapsed="false">
      <c r="A84" s="53" t="s">
        <v>16</v>
      </c>
      <c r="B84" s="7" t="n">
        <v>0.583333333333333</v>
      </c>
      <c r="C84" s="23" t="s">
        <v>8</v>
      </c>
      <c r="D84" s="54" t="n">
        <v>29.1</v>
      </c>
      <c r="E84" s="54" t="n">
        <v>64</v>
      </c>
      <c r="F84" s="54" t="n">
        <v>12.4</v>
      </c>
      <c r="G84" s="54" t="n">
        <v>27.9</v>
      </c>
    </row>
    <row r="85" customFormat="false" ht="13.8" hidden="false" customHeight="false" outlineLevel="0" collapsed="false">
      <c r="A85" s="53" t="s">
        <v>16</v>
      </c>
      <c r="B85" s="7" t="n">
        <v>0.583333333333333</v>
      </c>
      <c r="C85" s="23" t="s">
        <v>9</v>
      </c>
      <c r="D85" s="54" t="n">
        <v>29.1</v>
      </c>
      <c r="E85" s="54" t="n">
        <v>64</v>
      </c>
      <c r="F85" s="54" t="n">
        <v>12.3</v>
      </c>
      <c r="G85" s="54" t="n">
        <v>29.7</v>
      </c>
    </row>
    <row r="86" customFormat="false" ht="13.8" hidden="false" customHeight="false" outlineLevel="0" collapsed="false">
      <c r="A86" s="53" t="s">
        <v>16</v>
      </c>
      <c r="B86" s="7" t="n">
        <v>0.666666666666667</v>
      </c>
      <c r="C86" s="8" t="s">
        <v>10</v>
      </c>
      <c r="D86" s="54" t="n">
        <v>33.8</v>
      </c>
      <c r="E86" s="54" t="n">
        <v>47</v>
      </c>
      <c r="F86" s="54" t="n">
        <v>10.2</v>
      </c>
      <c r="G86" s="54" t="n">
        <v>31.5</v>
      </c>
    </row>
    <row r="87" customFormat="false" ht="13.8" hidden="false" customHeight="false" outlineLevel="0" collapsed="false">
      <c r="A87" s="53" t="s">
        <v>16</v>
      </c>
      <c r="B87" s="7" t="n">
        <v>0.666666666666667</v>
      </c>
      <c r="C87" s="8" t="s">
        <v>8</v>
      </c>
      <c r="D87" s="54" t="n">
        <v>33.8</v>
      </c>
      <c r="E87" s="54" t="n">
        <v>47</v>
      </c>
      <c r="F87" s="54" t="n">
        <v>10.7</v>
      </c>
      <c r="G87" s="54" t="n">
        <v>34.4</v>
      </c>
    </row>
    <row r="88" customFormat="false" ht="13.8" hidden="false" customHeight="false" outlineLevel="0" collapsed="false">
      <c r="A88" s="53" t="s">
        <v>16</v>
      </c>
      <c r="B88" s="7" t="n">
        <v>0.666666666666667</v>
      </c>
      <c r="C88" s="8" t="s">
        <v>9</v>
      </c>
      <c r="D88" s="54" t="n">
        <v>33.8</v>
      </c>
      <c r="E88" s="54" t="n">
        <v>47</v>
      </c>
      <c r="F88" s="54" t="n">
        <v>10.4</v>
      </c>
      <c r="G88" s="54" t="n">
        <v>34.2</v>
      </c>
    </row>
    <row r="89" customFormat="false" ht="13.8" hidden="false" customHeight="false" outlineLevel="0" collapsed="false">
      <c r="A89" s="55"/>
      <c r="B89" s="7"/>
      <c r="C89" s="8"/>
      <c r="D89" s="56"/>
      <c r="E89" s="56"/>
      <c r="F89" s="56"/>
      <c r="G89" s="56"/>
    </row>
    <row r="90" customFormat="false" ht="13.8" hidden="false" customHeight="false" outlineLevel="0" collapsed="false">
      <c r="A90" s="55"/>
      <c r="B90" s="7"/>
      <c r="C90" s="8"/>
      <c r="D90" s="56"/>
      <c r="E90" s="56"/>
      <c r="F90" s="56"/>
      <c r="G90" s="57"/>
    </row>
    <row r="91" customFormat="false" ht="13.8" hidden="false" customHeight="false" outlineLevel="0" collapsed="false">
      <c r="A91" s="55"/>
      <c r="B91" s="7"/>
      <c r="C91" s="8"/>
      <c r="D91" s="56"/>
      <c r="E91" s="56"/>
      <c r="F91" s="56"/>
      <c r="G91" s="57"/>
    </row>
    <row r="92" customFormat="false" ht="13.8" hidden="false" customHeight="false" outlineLevel="0" collapsed="false">
      <c r="A92" s="55"/>
      <c r="B92" s="7"/>
      <c r="C92" s="8"/>
      <c r="D92" s="56"/>
      <c r="E92" s="56"/>
      <c r="F92" s="56"/>
      <c r="G92" s="57"/>
    </row>
    <row r="93" customFormat="false" ht="13.8" hidden="false" customHeight="false" outlineLevel="0" collapsed="false">
      <c r="A93" s="55"/>
      <c r="B93" s="7"/>
      <c r="C93" s="8"/>
      <c r="D93" s="56"/>
      <c r="E93" s="56"/>
      <c r="F93" s="56"/>
      <c r="G93" s="57"/>
    </row>
    <row r="94" customFormat="false" ht="13.8" hidden="false" customHeight="false" outlineLevel="0" collapsed="false">
      <c r="A94" s="55"/>
      <c r="B94" s="7"/>
      <c r="C94" s="8"/>
      <c r="D94" s="56"/>
      <c r="E94" s="56"/>
      <c r="F94" s="56"/>
      <c r="G94" s="57"/>
    </row>
    <row r="95" customFormat="false" ht="13.8" hidden="false" customHeight="false" outlineLevel="0" collapsed="false">
      <c r="A95" s="55"/>
      <c r="B95" s="7"/>
      <c r="C95" s="8"/>
      <c r="D95" s="56"/>
      <c r="E95" s="56"/>
      <c r="F95" s="56"/>
      <c r="G95" s="57"/>
    </row>
    <row r="96" customFormat="false" ht="13.8" hidden="false" customHeight="false" outlineLevel="0" collapsed="false">
      <c r="A96" s="55"/>
      <c r="B96" s="7"/>
      <c r="C96" s="8"/>
      <c r="D96" s="56"/>
      <c r="E96" s="56"/>
      <c r="F96" s="56"/>
      <c r="G96" s="57"/>
    </row>
    <row r="97" customFormat="false" ht="13.8" hidden="false" customHeight="false" outlineLevel="0" collapsed="false">
      <c r="A97" s="55"/>
      <c r="B97" s="7"/>
      <c r="C97" s="8"/>
      <c r="D97" s="56"/>
      <c r="E97" s="56"/>
      <c r="F97" s="56"/>
      <c r="G97" s="57"/>
    </row>
    <row r="98" customFormat="false" ht="13.8" hidden="false" customHeight="false" outlineLevel="0" collapsed="false">
      <c r="A98" s="55"/>
      <c r="B98" s="7"/>
      <c r="C98" s="8"/>
      <c r="D98" s="56"/>
      <c r="E98" s="56"/>
      <c r="F98" s="56"/>
      <c r="G98" s="57"/>
    </row>
    <row r="99" customFormat="false" ht="13.8" hidden="false" customHeight="false" outlineLevel="0" collapsed="false">
      <c r="A99" s="55"/>
      <c r="B99" s="7"/>
      <c r="C99" s="8"/>
      <c r="D99" s="56"/>
      <c r="E99" s="56"/>
      <c r="F99" s="56"/>
      <c r="G99" s="57"/>
    </row>
    <row r="100" customFormat="false" ht="13.8" hidden="false" customHeight="false" outlineLevel="0" collapsed="false">
      <c r="A100" s="55"/>
      <c r="B100" s="7"/>
      <c r="C100" s="8"/>
      <c r="D100" s="56"/>
      <c r="E100" s="56"/>
      <c r="F100" s="56"/>
      <c r="G100" s="57"/>
    </row>
    <row r="101" customFormat="false" ht="13.8" hidden="false" customHeight="false" outlineLevel="0" collapsed="false">
      <c r="A101" s="55"/>
      <c r="B101" s="7"/>
      <c r="C101" s="8"/>
      <c r="D101" s="56"/>
      <c r="E101" s="56"/>
      <c r="F101" s="56"/>
      <c r="G101" s="57"/>
    </row>
    <row r="102" customFormat="false" ht="13.8" hidden="false" customHeight="false" outlineLevel="0" collapsed="false">
      <c r="A102" s="55"/>
      <c r="B102" s="7"/>
      <c r="C102" s="8"/>
      <c r="D102" s="56"/>
      <c r="E102" s="56"/>
      <c r="F102" s="56"/>
      <c r="G102" s="57"/>
    </row>
    <row r="103" customFormat="false" ht="13.8" hidden="false" customHeight="false" outlineLevel="0" collapsed="false">
      <c r="A103" s="55"/>
      <c r="B103" s="7"/>
      <c r="C103" s="8"/>
      <c r="D103" s="56"/>
      <c r="E103" s="56"/>
      <c r="F103" s="56"/>
      <c r="G103" s="57"/>
    </row>
    <row r="104" customFormat="false" ht="13.8" hidden="false" customHeight="false" outlineLevel="0" collapsed="false">
      <c r="A104" s="55"/>
      <c r="B104" s="7"/>
      <c r="C104" s="8"/>
      <c r="D104" s="56"/>
      <c r="E104" s="56"/>
      <c r="F104" s="56"/>
      <c r="G104" s="57"/>
    </row>
    <row r="105" customFormat="false" ht="13.8" hidden="false" customHeight="false" outlineLevel="0" collapsed="false">
      <c r="A105" s="55"/>
      <c r="B105" s="7"/>
      <c r="C105" s="8"/>
      <c r="D105" s="56"/>
      <c r="E105" s="56"/>
      <c r="F105" s="56"/>
      <c r="G105" s="57"/>
    </row>
    <row r="106" customFormat="false" ht="13.8" hidden="false" customHeight="false" outlineLevel="0" collapsed="false">
      <c r="A106" s="55"/>
      <c r="B106" s="7"/>
      <c r="C106" s="8"/>
      <c r="D106" s="56"/>
      <c r="E106" s="56"/>
      <c r="F106" s="56"/>
      <c r="G106" s="57"/>
    </row>
    <row r="107" customFormat="false" ht="13.8" hidden="false" customHeight="false" outlineLevel="0" collapsed="false">
      <c r="A107" s="55"/>
      <c r="B107" s="7"/>
      <c r="C107" s="8"/>
      <c r="D107" s="56"/>
      <c r="E107" s="56"/>
      <c r="F107" s="56"/>
      <c r="G107" s="57"/>
    </row>
    <row r="108" customFormat="false" ht="13.8" hidden="false" customHeight="false" outlineLevel="0" collapsed="false">
      <c r="A108" s="55"/>
      <c r="B108" s="7"/>
      <c r="C108" s="8"/>
      <c r="D108" s="56"/>
      <c r="E108" s="56"/>
      <c r="F108" s="56"/>
      <c r="G108" s="57"/>
    </row>
    <row r="109" customFormat="false" ht="13.8" hidden="false" customHeight="false" outlineLevel="0" collapsed="false">
      <c r="A109" s="55"/>
      <c r="B109" s="7"/>
      <c r="C109" s="8"/>
      <c r="D109" s="56"/>
      <c r="E109" s="56"/>
      <c r="F109" s="56"/>
      <c r="G109" s="5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I75" activeCellId="0" sqref="I75"/>
    </sheetView>
  </sheetViews>
  <sheetFormatPr defaultColWidth="12.66015625" defaultRowHeight="12.8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4" min="4" style="2" width="21.3"/>
    <col collapsed="false" customWidth="true" hidden="false" outlineLevel="0" max="5" min="5" style="2" width="18.12"/>
    <col collapsed="false" customWidth="true" hidden="false" outlineLevel="0" max="6" min="6" style="2" width="17.55"/>
    <col collapsed="false" customWidth="true" hidden="false" outlineLevel="0" max="7" min="7" style="2" width="20.33"/>
    <col collapsed="false" customWidth="true" hidden="false" outlineLevel="0" max="8" min="8" style="2" width="23.69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9" t="s">
        <v>11</v>
      </c>
    </row>
    <row r="2" customFormat="false" ht="13.8" hidden="false" customHeight="false" outlineLevel="0" collapsed="false">
      <c r="A2" s="53" t="s">
        <v>12</v>
      </c>
      <c r="B2" s="7" t="n">
        <v>0.333333333333333</v>
      </c>
      <c r="C2" s="8" t="s">
        <v>7</v>
      </c>
      <c r="D2" s="53" t="s">
        <v>17</v>
      </c>
      <c r="E2" s="53" t="s">
        <v>18</v>
      </c>
      <c r="F2" s="54" t="s">
        <v>19</v>
      </c>
      <c r="G2" s="54" t="s">
        <v>20</v>
      </c>
      <c r="H2" s="58" t="n">
        <f aca="false">-0.001*F2*F2+0.339*F2+2.575</f>
        <v>26.475</v>
      </c>
    </row>
    <row r="3" customFormat="false" ht="13.8" hidden="false" customHeight="false" outlineLevel="0" collapsed="false">
      <c r="A3" s="53" t="s">
        <v>12</v>
      </c>
      <c r="B3" s="7" t="n">
        <v>0.333333333333333</v>
      </c>
      <c r="C3" s="8" t="s">
        <v>8</v>
      </c>
      <c r="D3" s="53" t="s">
        <v>17</v>
      </c>
      <c r="E3" s="53" t="s">
        <v>18</v>
      </c>
      <c r="F3" s="54" t="s">
        <v>21</v>
      </c>
      <c r="G3" s="54" t="s">
        <v>22</v>
      </c>
      <c r="H3" s="58" t="n">
        <f aca="false">-0.001*F3*F3+0.339*F3+2.575</f>
        <v>25.37625</v>
      </c>
    </row>
    <row r="4" customFormat="false" ht="13.8" hidden="false" customHeight="false" outlineLevel="0" collapsed="false">
      <c r="A4" s="53" t="s">
        <v>12</v>
      </c>
      <c r="B4" s="7" t="n">
        <v>0.333333333333333</v>
      </c>
      <c r="C4" s="8" t="s">
        <v>9</v>
      </c>
      <c r="D4" s="53" t="s">
        <v>17</v>
      </c>
      <c r="E4" s="53" t="s">
        <v>18</v>
      </c>
      <c r="F4" s="54" t="s">
        <v>23</v>
      </c>
      <c r="G4" s="54" t="s">
        <v>24</v>
      </c>
      <c r="H4" s="58" t="n">
        <f aca="false">-0.001*F4*F4+0.339*F4+2.575</f>
        <v>24.63036</v>
      </c>
    </row>
    <row r="5" customFormat="false" ht="13.8" hidden="false" customHeight="false" outlineLevel="0" collapsed="false">
      <c r="A5" s="53" t="s">
        <v>12</v>
      </c>
      <c r="B5" s="7" t="n">
        <v>0.416666666666667</v>
      </c>
      <c r="C5" s="8" t="s">
        <v>10</v>
      </c>
      <c r="D5" s="53" t="s">
        <v>25</v>
      </c>
      <c r="E5" s="53" t="s">
        <v>26</v>
      </c>
      <c r="F5" s="54" t="s">
        <v>27</v>
      </c>
      <c r="G5" s="54" t="s">
        <v>28</v>
      </c>
      <c r="H5" s="58" t="n">
        <f aca="false">-0.001*F5*F5+0.339*F5+2.575</f>
        <v>24.92124</v>
      </c>
    </row>
    <row r="6" customFormat="false" ht="13.8" hidden="false" customHeight="false" outlineLevel="0" collapsed="false">
      <c r="A6" s="53" t="s">
        <v>12</v>
      </c>
      <c r="B6" s="7" t="n">
        <v>0.416666666666667</v>
      </c>
      <c r="C6" s="8" t="s">
        <v>8</v>
      </c>
      <c r="D6" s="53" t="s">
        <v>25</v>
      </c>
      <c r="E6" s="53" t="s">
        <v>26</v>
      </c>
      <c r="F6" s="54" t="s">
        <v>29</v>
      </c>
      <c r="G6" s="54" t="s">
        <v>30</v>
      </c>
      <c r="H6" s="58" t="n">
        <f aca="false">-0.001*F6*F6+0.339*F6+2.575</f>
        <v>21.205</v>
      </c>
    </row>
    <row r="7" customFormat="false" ht="13.8" hidden="false" customHeight="false" outlineLevel="0" collapsed="false">
      <c r="A7" s="53" t="s">
        <v>12</v>
      </c>
      <c r="B7" s="7" t="n">
        <v>0.416666666666667</v>
      </c>
      <c r="C7" s="8" t="s">
        <v>9</v>
      </c>
      <c r="D7" s="53" t="s">
        <v>25</v>
      </c>
      <c r="E7" s="53" t="s">
        <v>26</v>
      </c>
      <c r="F7" s="54" t="s">
        <v>31</v>
      </c>
      <c r="G7" s="54" t="s">
        <v>32</v>
      </c>
      <c r="H7" s="58" t="n">
        <f aca="false">-0.001*F7*F7+0.339*F7+2.575</f>
        <v>21.36516</v>
      </c>
    </row>
    <row r="8" customFormat="false" ht="13.8" hidden="false" customHeight="false" outlineLevel="0" collapsed="false">
      <c r="A8" s="53" t="s">
        <v>12</v>
      </c>
      <c r="B8" s="7" t="n">
        <v>0.5</v>
      </c>
      <c r="C8" s="8" t="s">
        <v>10</v>
      </c>
      <c r="D8" s="53" t="s">
        <v>33</v>
      </c>
      <c r="E8" s="53" t="s">
        <v>34</v>
      </c>
      <c r="F8" s="54" t="s">
        <v>35</v>
      </c>
      <c r="G8" s="54" t="s">
        <v>36</v>
      </c>
      <c r="H8" s="58" t="n">
        <f aca="false">-0.001*F8*F8+0.339*F8+2.575</f>
        <v>22.563</v>
      </c>
    </row>
    <row r="9" customFormat="false" ht="13.8" hidden="false" customHeight="false" outlineLevel="0" collapsed="false">
      <c r="A9" s="53" t="s">
        <v>12</v>
      </c>
      <c r="B9" s="7" t="n">
        <v>0.5</v>
      </c>
      <c r="C9" s="8" t="s">
        <v>8</v>
      </c>
      <c r="D9" s="53" t="s">
        <v>33</v>
      </c>
      <c r="E9" s="53" t="s">
        <v>34</v>
      </c>
      <c r="F9" s="54" t="s">
        <v>37</v>
      </c>
      <c r="G9" s="54" t="s">
        <v>38</v>
      </c>
      <c r="H9" s="58" t="n">
        <f aca="false">-0.001*F9*F9+0.339*F9+2.575</f>
        <v>19.533</v>
      </c>
    </row>
    <row r="10" customFormat="false" ht="13.8" hidden="false" customHeight="false" outlineLevel="0" collapsed="false">
      <c r="A10" s="53" t="s">
        <v>12</v>
      </c>
      <c r="B10" s="7" t="n">
        <v>0.5</v>
      </c>
      <c r="C10" s="8" t="s">
        <v>9</v>
      </c>
      <c r="D10" s="53" t="s">
        <v>33</v>
      </c>
      <c r="E10" s="53" t="s">
        <v>34</v>
      </c>
      <c r="F10" s="54" t="s">
        <v>39</v>
      </c>
      <c r="G10" s="54" t="s">
        <v>38</v>
      </c>
      <c r="H10" s="58" t="n">
        <f aca="false">-0.001*F10*F10+0.339*F10+2.575</f>
        <v>18.01116</v>
      </c>
    </row>
    <row r="11" customFormat="false" ht="13.8" hidden="false" customHeight="false" outlineLevel="0" collapsed="false">
      <c r="A11" s="53" t="s">
        <v>12</v>
      </c>
      <c r="B11" s="7" t="n">
        <v>0.583333333333333</v>
      </c>
      <c r="C11" s="8" t="s">
        <v>10</v>
      </c>
      <c r="D11" s="53" t="s">
        <v>40</v>
      </c>
      <c r="E11" s="53" t="s">
        <v>41</v>
      </c>
      <c r="F11" s="54" t="s">
        <v>42</v>
      </c>
      <c r="G11" s="54" t="s">
        <v>43</v>
      </c>
      <c r="H11" s="58" t="n">
        <f aca="false">-0.001*F11*F11+0.339*F11+2.575</f>
        <v>23.473</v>
      </c>
    </row>
    <row r="12" customFormat="false" ht="13.8" hidden="false" customHeight="false" outlineLevel="0" collapsed="false">
      <c r="A12" s="53" t="s">
        <v>12</v>
      </c>
      <c r="B12" s="7" t="n">
        <v>0.583333333333333</v>
      </c>
      <c r="C12" s="8" t="s">
        <v>8</v>
      </c>
      <c r="D12" s="53" t="s">
        <v>40</v>
      </c>
      <c r="E12" s="53" t="s">
        <v>41</v>
      </c>
      <c r="F12" s="54" t="s">
        <v>44</v>
      </c>
      <c r="G12" s="54" t="s">
        <v>45</v>
      </c>
      <c r="H12" s="58" t="n">
        <f aca="false">-0.001*F12*F12+0.339*F12+2.575</f>
        <v>22.185</v>
      </c>
    </row>
    <row r="13" customFormat="false" ht="13.8" hidden="false" customHeight="false" outlineLevel="0" collapsed="false">
      <c r="A13" s="53" t="s">
        <v>12</v>
      </c>
      <c r="B13" s="7" t="n">
        <v>0.583333333333333</v>
      </c>
      <c r="C13" s="8" t="s">
        <v>9</v>
      </c>
      <c r="D13" s="53" t="s">
        <v>40</v>
      </c>
      <c r="E13" s="53" t="s">
        <v>41</v>
      </c>
      <c r="F13" s="54" t="s">
        <v>46</v>
      </c>
      <c r="G13" s="54" t="s">
        <v>47</v>
      </c>
      <c r="H13" s="58" t="n">
        <f aca="false">-0.001*F13*F13+0.339*F13+2.575</f>
        <v>21.603</v>
      </c>
    </row>
    <row r="14" customFormat="false" ht="13.8" hidden="false" customHeight="false" outlineLevel="0" collapsed="false">
      <c r="A14" s="53" t="s">
        <v>12</v>
      </c>
      <c r="B14" s="7" t="n">
        <v>0.666666666666667</v>
      </c>
      <c r="C14" s="8" t="s">
        <v>10</v>
      </c>
      <c r="D14" s="53" t="s">
        <v>48</v>
      </c>
      <c r="E14" s="53" t="s">
        <v>49</v>
      </c>
      <c r="F14" s="54" t="s">
        <v>50</v>
      </c>
      <c r="G14" s="54" t="s">
        <v>51</v>
      </c>
      <c r="H14" s="58" t="n">
        <f aca="false">-0.001*F14*F14+0.339*F14+2.575</f>
        <v>25.79961</v>
      </c>
    </row>
    <row r="15" customFormat="false" ht="13.8" hidden="false" customHeight="false" outlineLevel="0" collapsed="false">
      <c r="A15" s="53" t="s">
        <v>12</v>
      </c>
      <c r="B15" s="7" t="n">
        <v>0.666666666666667</v>
      </c>
      <c r="C15" s="8" t="s">
        <v>8</v>
      </c>
      <c r="D15" s="53" t="s">
        <v>48</v>
      </c>
      <c r="E15" s="53" t="s">
        <v>49</v>
      </c>
      <c r="F15" s="54" t="s">
        <v>52</v>
      </c>
      <c r="G15" s="54" t="s">
        <v>51</v>
      </c>
      <c r="H15" s="58" t="n">
        <f aca="false">-0.001*F15*F15+0.339*F15+2.575</f>
        <v>24.02916</v>
      </c>
    </row>
    <row r="16" customFormat="false" ht="13.8" hidden="false" customHeight="false" outlineLevel="0" collapsed="false">
      <c r="A16" s="53" t="s">
        <v>12</v>
      </c>
      <c r="B16" s="7" t="n">
        <v>0.666666666666667</v>
      </c>
      <c r="C16" s="8" t="s">
        <v>9</v>
      </c>
      <c r="D16" s="53" t="s">
        <v>48</v>
      </c>
      <c r="E16" s="53" t="s">
        <v>49</v>
      </c>
      <c r="F16" s="54" t="s">
        <v>53</v>
      </c>
      <c r="G16" s="54" t="s">
        <v>54</v>
      </c>
      <c r="H16" s="58" t="n">
        <f aca="false">-0.001*F16*F16+0.339*F16+2.575</f>
        <v>23.40204</v>
      </c>
    </row>
    <row r="17" customFormat="false" ht="13.8" hidden="false" customHeight="false" outlineLevel="0" collapsed="false">
      <c r="A17" s="53" t="s">
        <v>12</v>
      </c>
      <c r="B17" s="7" t="n">
        <v>0.75</v>
      </c>
      <c r="C17" s="8" t="s">
        <v>10</v>
      </c>
      <c r="D17" s="53" t="s">
        <v>55</v>
      </c>
      <c r="E17" s="53" t="s">
        <v>49</v>
      </c>
      <c r="F17" s="54" t="s">
        <v>19</v>
      </c>
      <c r="G17" s="54" t="s">
        <v>56</v>
      </c>
      <c r="H17" s="58" t="n">
        <f aca="false">-0.001*F17*F17+0.339*F17+2.575</f>
        <v>26.475</v>
      </c>
    </row>
    <row r="18" customFormat="false" ht="13.8" hidden="false" customHeight="false" outlineLevel="0" collapsed="false">
      <c r="A18" s="53" t="s">
        <v>12</v>
      </c>
      <c r="B18" s="7" t="n">
        <v>0.75</v>
      </c>
      <c r="C18" s="8" t="s">
        <v>8</v>
      </c>
      <c r="D18" s="53" t="s">
        <v>55</v>
      </c>
      <c r="E18" s="53" t="s">
        <v>49</v>
      </c>
      <c r="F18" s="54" t="s">
        <v>57</v>
      </c>
      <c r="G18" s="54" t="s">
        <v>58</v>
      </c>
      <c r="H18" s="58" t="n">
        <f aca="false">-0.001*F18*F18+0.339*F18+2.575</f>
        <v>24.54841</v>
      </c>
    </row>
    <row r="19" customFormat="false" ht="13.8" hidden="false" customHeight="false" outlineLevel="0" collapsed="false">
      <c r="A19" s="53" t="s">
        <v>12</v>
      </c>
      <c r="B19" s="7" t="n">
        <v>0.75</v>
      </c>
      <c r="C19" s="8" t="s">
        <v>9</v>
      </c>
      <c r="D19" s="53" t="s">
        <v>55</v>
      </c>
      <c r="E19" s="53" t="s">
        <v>49</v>
      </c>
      <c r="F19" s="54" t="s">
        <v>59</v>
      </c>
      <c r="G19" s="54" t="s">
        <v>22</v>
      </c>
      <c r="H19" s="58" t="n">
        <f aca="false">-0.001*F19*F19+0.339*F19+2.575</f>
        <v>23.97789</v>
      </c>
    </row>
    <row r="20" customFormat="false" ht="13.8" hidden="false" customHeight="false" outlineLevel="0" collapsed="false">
      <c r="A20" s="53" t="s">
        <v>13</v>
      </c>
      <c r="B20" s="7" t="n">
        <v>0.333333333333333</v>
      </c>
      <c r="C20" s="8" t="s">
        <v>10</v>
      </c>
      <c r="D20" s="53" t="s">
        <v>60</v>
      </c>
      <c r="E20" s="53" t="s">
        <v>61</v>
      </c>
      <c r="F20" s="54" t="s">
        <v>19</v>
      </c>
      <c r="G20" s="54" t="s">
        <v>62</v>
      </c>
      <c r="H20" s="58" t="n">
        <f aca="false">-0.001*F20*F20+0.339*F20+2.575</f>
        <v>26.475</v>
      </c>
    </row>
    <row r="21" customFormat="false" ht="13.8" hidden="false" customHeight="false" outlineLevel="0" collapsed="false">
      <c r="A21" s="53" t="s">
        <v>13</v>
      </c>
      <c r="B21" s="7" t="n">
        <v>0.333333333333333</v>
      </c>
      <c r="C21" s="8" t="s">
        <v>8</v>
      </c>
      <c r="D21" s="53" t="s">
        <v>60</v>
      </c>
      <c r="E21" s="53" t="s">
        <v>61</v>
      </c>
      <c r="F21" s="54" t="s">
        <v>63</v>
      </c>
      <c r="G21" s="54" t="s">
        <v>64</v>
      </c>
      <c r="H21" s="58" t="n">
        <f aca="false">-0.001*F21*F21+0.339*F21+2.575</f>
        <v>25.453</v>
      </c>
    </row>
    <row r="22" customFormat="false" ht="13.8" hidden="false" customHeight="false" outlineLevel="0" collapsed="false">
      <c r="A22" s="53" t="s">
        <v>13</v>
      </c>
      <c r="B22" s="7" t="n">
        <v>0.333333333333333</v>
      </c>
      <c r="C22" s="8" t="s">
        <v>9</v>
      </c>
      <c r="D22" s="53" t="s">
        <v>60</v>
      </c>
      <c r="E22" s="53" t="s">
        <v>61</v>
      </c>
      <c r="F22" s="54" t="s">
        <v>65</v>
      </c>
      <c r="G22" s="54" t="s">
        <v>66</v>
      </c>
      <c r="H22" s="58" t="n">
        <f aca="false">-0.001*F22*F22+0.339*F22+2.575</f>
        <v>24.24925</v>
      </c>
    </row>
    <row r="23" customFormat="false" ht="13.8" hidden="false" customHeight="false" outlineLevel="0" collapsed="false">
      <c r="A23" s="53" t="s">
        <v>13</v>
      </c>
      <c r="B23" s="7" t="n">
        <v>0.416666666666667</v>
      </c>
      <c r="C23" s="8" t="s">
        <v>10</v>
      </c>
      <c r="D23" s="53" t="s">
        <v>67</v>
      </c>
      <c r="E23" s="53" t="s">
        <v>68</v>
      </c>
      <c r="F23" s="54" t="s">
        <v>69</v>
      </c>
      <c r="G23" s="54" t="s">
        <v>70</v>
      </c>
      <c r="H23" s="58" t="n">
        <f aca="false">-0.001*F23*F23+0.339*F23+2.575</f>
        <v>23.823</v>
      </c>
    </row>
    <row r="24" customFormat="false" ht="13.8" hidden="false" customHeight="false" outlineLevel="0" collapsed="false">
      <c r="A24" s="53" t="s">
        <v>13</v>
      </c>
      <c r="B24" s="7" t="n">
        <v>0.416666666666667</v>
      </c>
      <c r="C24" s="8" t="s">
        <v>8</v>
      </c>
      <c r="D24" s="53" t="s">
        <v>67</v>
      </c>
      <c r="E24" s="53" t="s">
        <v>68</v>
      </c>
      <c r="F24" s="54" t="s">
        <v>71</v>
      </c>
      <c r="G24" s="54" t="s">
        <v>72</v>
      </c>
      <c r="H24" s="58" t="n">
        <f aca="false">-0.001*F24*F24+0.339*F24+2.575</f>
        <v>21.405</v>
      </c>
    </row>
    <row r="25" customFormat="false" ht="13.8" hidden="false" customHeight="false" outlineLevel="0" collapsed="false">
      <c r="A25" s="53" t="s">
        <v>13</v>
      </c>
      <c r="B25" s="7" t="n">
        <v>0.416666666666667</v>
      </c>
      <c r="C25" s="8" t="s">
        <v>9</v>
      </c>
      <c r="D25" s="53" t="s">
        <v>67</v>
      </c>
      <c r="E25" s="53" t="s">
        <v>68</v>
      </c>
      <c r="F25" s="54" t="s">
        <v>73</v>
      </c>
      <c r="G25" s="54" t="s">
        <v>74</v>
      </c>
      <c r="H25" s="58" t="n">
        <f aca="false">-0.001*F25*F25+0.339*F25+2.575</f>
        <v>18.30925</v>
      </c>
    </row>
    <row r="26" customFormat="false" ht="13.8" hidden="false" customHeight="false" outlineLevel="0" collapsed="false">
      <c r="A26" s="53" t="s">
        <v>13</v>
      </c>
      <c r="B26" s="7" t="n">
        <v>0.5</v>
      </c>
      <c r="C26" s="8" t="s">
        <v>10</v>
      </c>
      <c r="D26" s="53" t="s">
        <v>75</v>
      </c>
      <c r="E26" s="53" t="s">
        <v>76</v>
      </c>
      <c r="F26" s="54" t="s">
        <v>77</v>
      </c>
      <c r="G26" s="54" t="s">
        <v>72</v>
      </c>
      <c r="H26" s="58" t="n">
        <f aca="false">-0.001*F26*F26+0.339*F26+2.575</f>
        <v>20.593</v>
      </c>
    </row>
    <row r="27" customFormat="false" ht="13.8" hidden="false" customHeight="false" outlineLevel="0" collapsed="false">
      <c r="A27" s="53" t="s">
        <v>13</v>
      </c>
      <c r="B27" s="7" t="n">
        <v>0.5</v>
      </c>
      <c r="C27" s="8" t="s">
        <v>8</v>
      </c>
      <c r="D27" s="53" t="s">
        <v>75</v>
      </c>
      <c r="E27" s="53" t="s">
        <v>76</v>
      </c>
      <c r="F27" s="54" t="s">
        <v>78</v>
      </c>
      <c r="G27" s="54" t="s">
        <v>79</v>
      </c>
      <c r="H27" s="58" t="n">
        <f aca="false">-0.001*F27*F27+0.339*F27+2.575</f>
        <v>18.423</v>
      </c>
    </row>
    <row r="28" customFormat="false" ht="13.8" hidden="false" customHeight="false" outlineLevel="0" collapsed="false">
      <c r="A28" s="53" t="s">
        <v>13</v>
      </c>
      <c r="B28" s="7" t="n">
        <v>0.5</v>
      </c>
      <c r="C28" s="8" t="s">
        <v>9</v>
      </c>
      <c r="D28" s="53" t="s">
        <v>75</v>
      </c>
      <c r="E28" s="53" t="s">
        <v>76</v>
      </c>
      <c r="F28" s="54" t="s">
        <v>80</v>
      </c>
      <c r="G28" s="54" t="s">
        <v>81</v>
      </c>
      <c r="H28" s="58" t="n">
        <f aca="false">-0.001*F28*F28+0.339*F28+2.575</f>
        <v>15.049</v>
      </c>
    </row>
    <row r="29" customFormat="false" ht="13.8" hidden="false" customHeight="false" outlineLevel="0" collapsed="false">
      <c r="A29" s="53" t="s">
        <v>13</v>
      </c>
      <c r="B29" s="7" t="n">
        <v>0.583333333333333</v>
      </c>
      <c r="C29" s="8" t="s">
        <v>10</v>
      </c>
      <c r="D29" s="53" t="s">
        <v>82</v>
      </c>
      <c r="E29" s="53" t="s">
        <v>83</v>
      </c>
      <c r="F29" s="54" t="s">
        <v>84</v>
      </c>
      <c r="G29" s="54" t="s">
        <v>85</v>
      </c>
      <c r="H29" s="58" t="n">
        <f aca="false">-0.001*F29*F29+0.339*F29+2.575</f>
        <v>17.025</v>
      </c>
    </row>
    <row r="30" customFormat="false" ht="13.8" hidden="false" customHeight="false" outlineLevel="0" collapsed="false">
      <c r="A30" s="53" t="s">
        <v>13</v>
      </c>
      <c r="B30" s="7" t="n">
        <v>0.583333333333333</v>
      </c>
      <c r="C30" s="8" t="s">
        <v>8</v>
      </c>
      <c r="D30" s="53" t="s">
        <v>82</v>
      </c>
      <c r="E30" s="53" t="s">
        <v>83</v>
      </c>
      <c r="F30" s="54" t="s">
        <v>82</v>
      </c>
      <c r="G30" s="54" t="s">
        <v>86</v>
      </c>
      <c r="H30" s="58" t="n">
        <f aca="false">-0.001*F30*F30+0.339*F30+2.575</f>
        <v>14.275</v>
      </c>
    </row>
    <row r="31" customFormat="false" ht="13.8" hidden="false" customHeight="false" outlineLevel="0" collapsed="false">
      <c r="A31" s="53" t="s">
        <v>13</v>
      </c>
      <c r="B31" s="7" t="n">
        <v>0.583333333333333</v>
      </c>
      <c r="C31" s="8" t="s">
        <v>9</v>
      </c>
      <c r="D31" s="53" t="s">
        <v>82</v>
      </c>
      <c r="E31" s="53" t="s">
        <v>83</v>
      </c>
      <c r="F31" s="54" t="s">
        <v>87</v>
      </c>
      <c r="G31" s="54" t="s">
        <v>88</v>
      </c>
      <c r="H31" s="58" t="n">
        <f aca="false">-0.001*F31*F31+0.339*F31+2.575</f>
        <v>15.805</v>
      </c>
    </row>
    <row r="32" customFormat="false" ht="13.8" hidden="false" customHeight="false" outlineLevel="0" collapsed="false">
      <c r="A32" s="53" t="s">
        <v>13</v>
      </c>
      <c r="B32" s="7" t="n">
        <v>0.666666666666667</v>
      </c>
      <c r="C32" s="8" t="s">
        <v>10</v>
      </c>
      <c r="D32" s="53" t="s">
        <v>43</v>
      </c>
      <c r="E32" s="53" t="s">
        <v>37</v>
      </c>
      <c r="F32" s="54" t="s">
        <v>89</v>
      </c>
      <c r="G32" s="54" t="s">
        <v>90</v>
      </c>
      <c r="H32" s="58" t="n">
        <f aca="false">-0.001*F32*F32+0.339*F32+2.575</f>
        <v>20.175</v>
      </c>
    </row>
    <row r="33" customFormat="false" ht="13.8" hidden="false" customHeight="false" outlineLevel="0" collapsed="false">
      <c r="A33" s="53" t="s">
        <v>13</v>
      </c>
      <c r="B33" s="7" t="n">
        <v>0.666666666666667</v>
      </c>
      <c r="C33" s="8" t="s">
        <v>8</v>
      </c>
      <c r="D33" s="53" t="s">
        <v>43</v>
      </c>
      <c r="E33" s="53" t="s">
        <v>37</v>
      </c>
      <c r="F33" s="54" t="s">
        <v>77</v>
      </c>
      <c r="G33" s="54" t="s">
        <v>91</v>
      </c>
      <c r="H33" s="58" t="n">
        <f aca="false">-0.001*F33*F33+0.339*F33+2.575</f>
        <v>20.593</v>
      </c>
    </row>
    <row r="34" customFormat="false" ht="13.8" hidden="false" customHeight="false" outlineLevel="0" collapsed="false">
      <c r="A34" s="53" t="s">
        <v>13</v>
      </c>
      <c r="B34" s="7" t="n">
        <v>0.666666666666667</v>
      </c>
      <c r="C34" s="8" t="s">
        <v>9</v>
      </c>
      <c r="D34" s="53" t="s">
        <v>43</v>
      </c>
      <c r="E34" s="53" t="s">
        <v>37</v>
      </c>
      <c r="F34" s="54" t="s">
        <v>92</v>
      </c>
      <c r="G34" s="54" t="s">
        <v>93</v>
      </c>
      <c r="H34" s="58" t="n">
        <f aca="false">-0.001*F34*F34+0.339*F34+2.575</f>
        <v>19.749</v>
      </c>
    </row>
    <row r="35" customFormat="false" ht="13.8" hidden="false" customHeight="false" outlineLevel="0" collapsed="false">
      <c r="A35" s="53" t="s">
        <v>13</v>
      </c>
      <c r="B35" s="7" t="n">
        <v>0.75</v>
      </c>
      <c r="C35" s="8" t="s">
        <v>10</v>
      </c>
      <c r="D35" s="53" t="s">
        <v>94</v>
      </c>
      <c r="E35" s="53" t="s">
        <v>95</v>
      </c>
      <c r="F35" s="54" t="s">
        <v>96</v>
      </c>
      <c r="G35" s="54" t="s">
        <v>51</v>
      </c>
      <c r="H35" s="58" t="n">
        <f aca="false">-0.001*F35*F35+0.339*F35+2.575</f>
        <v>24.08025</v>
      </c>
    </row>
    <row r="36" customFormat="false" ht="13.8" hidden="false" customHeight="false" outlineLevel="0" collapsed="false">
      <c r="A36" s="53" t="s">
        <v>13</v>
      </c>
      <c r="B36" s="7" t="n">
        <v>0.75</v>
      </c>
      <c r="C36" s="8" t="s">
        <v>8</v>
      </c>
      <c r="D36" s="53" t="s">
        <v>94</v>
      </c>
      <c r="E36" s="53" t="s">
        <v>95</v>
      </c>
      <c r="F36" s="54" t="s">
        <v>97</v>
      </c>
      <c r="G36" s="54" t="s">
        <v>98</v>
      </c>
      <c r="H36" s="58" t="n">
        <f aca="false">-0.001*F36*F36+0.339*F36+2.575</f>
        <v>22.63764</v>
      </c>
    </row>
    <row r="37" customFormat="false" ht="13.8" hidden="false" customHeight="false" outlineLevel="0" collapsed="false">
      <c r="A37" s="53" t="s">
        <v>13</v>
      </c>
      <c r="B37" s="7" t="n">
        <v>0.75</v>
      </c>
      <c r="C37" s="8" t="s">
        <v>9</v>
      </c>
      <c r="D37" s="53" t="s">
        <v>94</v>
      </c>
      <c r="E37" s="53" t="s">
        <v>95</v>
      </c>
      <c r="F37" s="54" t="s">
        <v>99</v>
      </c>
      <c r="G37" s="54" t="s">
        <v>100</v>
      </c>
      <c r="H37" s="58" t="n">
        <f aca="false">-0.001*F37*F37+0.339*F37+2.575</f>
        <v>22.33716</v>
      </c>
    </row>
    <row r="38" customFormat="false" ht="13.8" hidden="false" customHeight="false" outlineLevel="0" collapsed="false">
      <c r="A38" s="53" t="s">
        <v>14</v>
      </c>
      <c r="B38" s="7" t="n">
        <v>0.333333333333333</v>
      </c>
      <c r="C38" s="8" t="s">
        <v>10</v>
      </c>
      <c r="D38" s="53" t="s">
        <v>101</v>
      </c>
      <c r="E38" s="53" t="s">
        <v>102</v>
      </c>
      <c r="F38" s="54" t="s">
        <v>103</v>
      </c>
      <c r="G38" s="54" t="s">
        <v>104</v>
      </c>
      <c r="H38" s="58" t="n">
        <f aca="false">-0.001*F38*F38+0.339*F38+2.575</f>
        <v>26.335</v>
      </c>
    </row>
    <row r="39" customFormat="false" ht="13.8" hidden="false" customHeight="false" outlineLevel="0" collapsed="false">
      <c r="A39" s="53" t="s">
        <v>14</v>
      </c>
      <c r="B39" s="7" t="n">
        <v>0.333333333333333</v>
      </c>
      <c r="C39" s="8" t="s">
        <v>8</v>
      </c>
      <c r="D39" s="53" t="s">
        <v>101</v>
      </c>
      <c r="E39" s="53" t="s">
        <v>102</v>
      </c>
      <c r="F39" s="54" t="s">
        <v>105</v>
      </c>
      <c r="G39" s="54" t="s">
        <v>62</v>
      </c>
      <c r="H39" s="58" t="n">
        <f aca="false">-0.001*F39*F39+0.339*F39+2.575</f>
        <v>24.825</v>
      </c>
    </row>
    <row r="40" customFormat="false" ht="13.8" hidden="false" customHeight="false" outlineLevel="0" collapsed="false">
      <c r="A40" s="53" t="s">
        <v>14</v>
      </c>
      <c r="B40" s="7" t="n">
        <v>0.333333333333333</v>
      </c>
      <c r="C40" s="8" t="s">
        <v>9</v>
      </c>
      <c r="D40" s="53" t="s">
        <v>101</v>
      </c>
      <c r="E40" s="53" t="s">
        <v>102</v>
      </c>
      <c r="F40" s="54" t="s">
        <v>106</v>
      </c>
      <c r="G40" s="54" t="s">
        <v>62</v>
      </c>
      <c r="H40" s="58" t="n">
        <f aca="false">-0.001*F40*F40+0.339*F40+2.575</f>
        <v>24.48249</v>
      </c>
    </row>
    <row r="41" customFormat="false" ht="13.8" hidden="false" customHeight="false" outlineLevel="0" collapsed="false">
      <c r="A41" s="53" t="s">
        <v>14</v>
      </c>
      <c r="B41" s="7" t="n">
        <v>0.416666666666667</v>
      </c>
      <c r="C41" s="8" t="s">
        <v>10</v>
      </c>
      <c r="D41" s="53" t="s">
        <v>107</v>
      </c>
      <c r="E41" s="53" t="s">
        <v>108</v>
      </c>
      <c r="F41" s="54" t="s">
        <v>109</v>
      </c>
      <c r="G41" s="54" t="s">
        <v>110</v>
      </c>
      <c r="H41" s="58" t="n">
        <f aca="false">-0.001*F41*F41+0.339*F41+2.575</f>
        <v>26.193</v>
      </c>
    </row>
    <row r="42" customFormat="false" ht="13.8" hidden="false" customHeight="false" outlineLevel="0" collapsed="false">
      <c r="A42" s="53" t="s">
        <v>14</v>
      </c>
      <c r="B42" s="7" t="n">
        <v>0.416666666666667</v>
      </c>
      <c r="C42" s="8" t="s">
        <v>8</v>
      </c>
      <c r="D42" s="53" t="s">
        <v>107</v>
      </c>
      <c r="E42" s="53" t="s">
        <v>108</v>
      </c>
      <c r="F42" s="54" t="s">
        <v>102</v>
      </c>
      <c r="G42" s="54" t="s">
        <v>58</v>
      </c>
      <c r="H42" s="58" t="n">
        <f aca="false">-0.001*F42*F42+0.339*F42+2.575</f>
        <v>24.58125</v>
      </c>
    </row>
    <row r="43" customFormat="false" ht="13.8" hidden="false" customHeight="false" outlineLevel="0" collapsed="false">
      <c r="A43" s="53" t="s">
        <v>14</v>
      </c>
      <c r="B43" s="7" t="n">
        <v>0.416666666666667</v>
      </c>
      <c r="C43" s="8" t="s">
        <v>9</v>
      </c>
      <c r="D43" s="53" t="s">
        <v>107</v>
      </c>
      <c r="E43" s="53" t="s">
        <v>108</v>
      </c>
      <c r="F43" s="54" t="s">
        <v>96</v>
      </c>
      <c r="G43" s="54" t="s">
        <v>110</v>
      </c>
      <c r="H43" s="58" t="n">
        <f aca="false">-0.001*F43*F43+0.339*F43+2.575</f>
        <v>24.08025</v>
      </c>
    </row>
    <row r="44" customFormat="false" ht="13.8" hidden="false" customHeight="false" outlineLevel="0" collapsed="false">
      <c r="A44" s="53" t="s">
        <v>14</v>
      </c>
      <c r="B44" s="7" t="n">
        <v>0.5</v>
      </c>
      <c r="C44" s="8" t="s">
        <v>10</v>
      </c>
      <c r="D44" s="53" t="s">
        <v>111</v>
      </c>
      <c r="E44" s="53" t="s">
        <v>112</v>
      </c>
      <c r="F44" s="54" t="s">
        <v>113</v>
      </c>
      <c r="G44" s="54" t="s">
        <v>114</v>
      </c>
      <c r="H44" s="58" t="n">
        <f aca="false">-0.001*F44*F44+0.339*F44+2.575</f>
        <v>26.049</v>
      </c>
    </row>
    <row r="45" customFormat="false" ht="13.8" hidden="false" customHeight="false" outlineLevel="0" collapsed="false">
      <c r="A45" s="53" t="s">
        <v>14</v>
      </c>
      <c r="B45" s="7" t="n">
        <v>0.5</v>
      </c>
      <c r="C45" s="8" t="s">
        <v>8</v>
      </c>
      <c r="D45" s="53" t="s">
        <v>111</v>
      </c>
      <c r="E45" s="53" t="s">
        <v>112</v>
      </c>
      <c r="F45" s="54" t="s">
        <v>115</v>
      </c>
      <c r="G45" s="54" t="s">
        <v>116</v>
      </c>
      <c r="H45" s="58" t="n">
        <f aca="false">-0.001*F45*F45+0.339*F45+2.575</f>
        <v>24.74425</v>
      </c>
    </row>
    <row r="46" customFormat="false" ht="13.8" hidden="false" customHeight="false" outlineLevel="0" collapsed="false">
      <c r="A46" s="53" t="s">
        <v>14</v>
      </c>
      <c r="B46" s="7" t="n">
        <v>0.5</v>
      </c>
      <c r="C46" s="8" t="s">
        <v>9</v>
      </c>
      <c r="D46" s="53" t="s">
        <v>111</v>
      </c>
      <c r="E46" s="53" t="s">
        <v>112</v>
      </c>
      <c r="F46" s="54" t="s">
        <v>117</v>
      </c>
      <c r="G46" s="54" t="s">
        <v>22</v>
      </c>
      <c r="H46" s="58" t="n">
        <f aca="false">-0.001*F46*F46+0.339*F46+2.575</f>
        <v>23.87481</v>
      </c>
    </row>
    <row r="47" customFormat="false" ht="13.8" hidden="false" customHeight="false" outlineLevel="0" collapsed="false">
      <c r="A47" s="53" t="s">
        <v>14</v>
      </c>
      <c r="B47" s="7" t="n">
        <v>0.583333333333333</v>
      </c>
      <c r="C47" s="8" t="s">
        <v>10</v>
      </c>
      <c r="D47" s="53" t="s">
        <v>48</v>
      </c>
      <c r="E47" s="53" t="s">
        <v>53</v>
      </c>
      <c r="F47" s="54" t="s">
        <v>118</v>
      </c>
      <c r="G47" s="54" t="s">
        <v>119</v>
      </c>
      <c r="H47" s="58" t="n">
        <f aca="false">-0.001*F47*F47+0.339*F47+2.575</f>
        <v>25.755</v>
      </c>
    </row>
    <row r="48" customFormat="false" ht="13.8" hidden="false" customHeight="false" outlineLevel="0" collapsed="false">
      <c r="A48" s="53" t="s">
        <v>14</v>
      </c>
      <c r="B48" s="7" t="n">
        <v>0.583333333333333</v>
      </c>
      <c r="C48" s="8" t="s">
        <v>8</v>
      </c>
      <c r="D48" s="53" t="s">
        <v>48</v>
      </c>
      <c r="E48" s="53" t="s">
        <v>53</v>
      </c>
      <c r="F48" s="54" t="s">
        <v>120</v>
      </c>
      <c r="G48" s="54" t="s">
        <v>100</v>
      </c>
      <c r="H48" s="58" t="n">
        <f aca="false">-0.001*F48*F48+0.339*F48+2.575</f>
        <v>24.41625</v>
      </c>
    </row>
    <row r="49" customFormat="false" ht="13.8" hidden="false" customHeight="false" outlineLevel="0" collapsed="false">
      <c r="A49" s="53" t="s">
        <v>14</v>
      </c>
      <c r="B49" s="7" t="n">
        <v>0.583333333333333</v>
      </c>
      <c r="C49" s="8" t="s">
        <v>9</v>
      </c>
      <c r="D49" s="53" t="s">
        <v>48</v>
      </c>
      <c r="E49" s="53" t="s">
        <v>53</v>
      </c>
      <c r="F49" s="54" t="s">
        <v>121</v>
      </c>
      <c r="G49" s="54" t="s">
        <v>54</v>
      </c>
      <c r="H49" s="58" t="n">
        <f aca="false">-0.001*F49*F49+0.339*F49+2.575</f>
        <v>23.52601</v>
      </c>
    </row>
    <row r="50" customFormat="false" ht="13.8" hidden="false" customHeight="false" outlineLevel="0" collapsed="false">
      <c r="A50" s="53" t="s">
        <v>14</v>
      </c>
      <c r="B50" s="7" t="n">
        <v>0.666666666666667</v>
      </c>
      <c r="C50" s="8" t="s">
        <v>10</v>
      </c>
      <c r="D50" s="53" t="s">
        <v>94</v>
      </c>
      <c r="E50" s="53" t="s">
        <v>122</v>
      </c>
      <c r="F50" s="54" t="s">
        <v>63</v>
      </c>
      <c r="G50" s="54" t="s">
        <v>48</v>
      </c>
      <c r="H50" s="58" t="n">
        <f aca="false">-0.001*F50*F50+0.339*F50+2.575</f>
        <v>25.453</v>
      </c>
    </row>
    <row r="51" customFormat="false" ht="13.8" hidden="false" customHeight="false" outlineLevel="0" collapsed="false">
      <c r="A51" s="53" t="s">
        <v>14</v>
      </c>
      <c r="B51" s="7" t="n">
        <v>0.666666666666667</v>
      </c>
      <c r="C51" s="8" t="s">
        <v>8</v>
      </c>
      <c r="D51" s="53" t="s">
        <v>94</v>
      </c>
      <c r="E51" s="53" t="s">
        <v>122</v>
      </c>
      <c r="F51" s="54" t="s">
        <v>123</v>
      </c>
      <c r="G51" s="54" t="s">
        <v>51</v>
      </c>
      <c r="H51" s="58" t="n">
        <f aca="false">-0.001*F51*F51+0.339*F51+2.575</f>
        <v>24.31629</v>
      </c>
    </row>
    <row r="52" customFormat="false" ht="13.8" hidden="false" customHeight="false" outlineLevel="0" collapsed="false">
      <c r="A52" s="53" t="s">
        <v>14</v>
      </c>
      <c r="B52" s="7" t="n">
        <v>0.666666666666667</v>
      </c>
      <c r="C52" s="8" t="s">
        <v>9</v>
      </c>
      <c r="D52" s="53" t="s">
        <v>94</v>
      </c>
      <c r="E52" s="53" t="s">
        <v>122</v>
      </c>
      <c r="F52" s="54" t="s">
        <v>124</v>
      </c>
      <c r="G52" s="54" t="s">
        <v>125</v>
      </c>
      <c r="H52" s="58" t="n">
        <f aca="false">-0.001*F52*F52+0.339*F52+2.575</f>
        <v>23.61396</v>
      </c>
    </row>
    <row r="53" customFormat="false" ht="13.8" hidden="false" customHeight="false" outlineLevel="0" collapsed="false">
      <c r="A53" s="53" t="s">
        <v>14</v>
      </c>
      <c r="B53" s="7" t="n">
        <v>0.75</v>
      </c>
      <c r="C53" s="8" t="s">
        <v>10</v>
      </c>
      <c r="D53" s="53" t="s">
        <v>126</v>
      </c>
      <c r="E53" s="53" t="s">
        <v>117</v>
      </c>
      <c r="F53" s="54" t="s">
        <v>103</v>
      </c>
      <c r="G53" s="54" t="s">
        <v>111</v>
      </c>
      <c r="H53" s="58" t="n">
        <f aca="false">-0.001*F53*F53+0.339*F53+2.575</f>
        <v>26.335</v>
      </c>
    </row>
    <row r="54" customFormat="false" ht="13.8" hidden="false" customHeight="false" outlineLevel="0" collapsed="false">
      <c r="A54" s="53" t="s">
        <v>14</v>
      </c>
      <c r="B54" s="7" t="n">
        <v>0.75</v>
      </c>
      <c r="C54" s="8" t="s">
        <v>8</v>
      </c>
      <c r="D54" s="53" t="s">
        <v>126</v>
      </c>
      <c r="E54" s="53" t="s">
        <v>117</v>
      </c>
      <c r="F54" s="54" t="s">
        <v>27</v>
      </c>
      <c r="G54" s="54" t="s">
        <v>110</v>
      </c>
      <c r="H54" s="58" t="n">
        <f aca="false">-0.001*F54*F54+0.339*F54+2.575</f>
        <v>24.92124</v>
      </c>
    </row>
    <row r="55" customFormat="false" ht="13.8" hidden="false" customHeight="false" outlineLevel="0" collapsed="false">
      <c r="A55" s="53" t="s">
        <v>14</v>
      </c>
      <c r="B55" s="7" t="n">
        <v>0.75</v>
      </c>
      <c r="C55" s="8" t="s">
        <v>9</v>
      </c>
      <c r="D55" s="53" t="s">
        <v>126</v>
      </c>
      <c r="E55" s="53" t="s">
        <v>117</v>
      </c>
      <c r="F55" s="54" t="s">
        <v>127</v>
      </c>
      <c r="G55" s="54" t="s">
        <v>110</v>
      </c>
      <c r="H55" s="58" t="n">
        <f aca="false">-0.001*F55*F55+0.339*F55+2.575</f>
        <v>24.23244</v>
      </c>
    </row>
    <row r="56" customFormat="false" ht="13.8" hidden="false" customHeight="false" outlineLevel="0" collapsed="false">
      <c r="A56" s="53" t="s">
        <v>15</v>
      </c>
      <c r="B56" s="7" t="n">
        <v>0.333333333333333</v>
      </c>
      <c r="C56" s="8" t="s">
        <v>10</v>
      </c>
      <c r="D56" s="53" t="s">
        <v>128</v>
      </c>
      <c r="E56" s="53" t="s">
        <v>129</v>
      </c>
      <c r="F56" s="54" t="s">
        <v>42</v>
      </c>
      <c r="G56" s="54" t="s">
        <v>130</v>
      </c>
      <c r="H56" s="58" t="n">
        <f aca="false">-0.001*F56*F56+0.339*F56+2.575</f>
        <v>23.473</v>
      </c>
    </row>
    <row r="57" customFormat="false" ht="13.8" hidden="false" customHeight="false" outlineLevel="0" collapsed="false">
      <c r="A57" s="53" t="s">
        <v>15</v>
      </c>
      <c r="B57" s="7" t="n">
        <v>0.333333333333333</v>
      </c>
      <c r="C57" s="8" t="s">
        <v>8</v>
      </c>
      <c r="D57" s="53" t="s">
        <v>128</v>
      </c>
      <c r="E57" s="53" t="s">
        <v>129</v>
      </c>
      <c r="F57" s="54" t="s">
        <v>42</v>
      </c>
      <c r="G57" s="54" t="s">
        <v>131</v>
      </c>
      <c r="H57" s="58" t="n">
        <f aca="false">-0.001*F57*F57+0.339*F57+2.575</f>
        <v>23.473</v>
      </c>
    </row>
    <row r="58" customFormat="false" ht="13.8" hidden="false" customHeight="false" outlineLevel="0" collapsed="false">
      <c r="A58" s="53" t="s">
        <v>15</v>
      </c>
      <c r="B58" s="7" t="n">
        <v>0.333333333333333</v>
      </c>
      <c r="C58" s="8" t="s">
        <v>9</v>
      </c>
      <c r="D58" s="53" t="s">
        <v>128</v>
      </c>
      <c r="E58" s="53" t="s">
        <v>129</v>
      </c>
      <c r="F58" s="54" t="s">
        <v>132</v>
      </c>
      <c r="G58" s="54" t="s">
        <v>133</v>
      </c>
      <c r="H58" s="58" t="n">
        <f aca="false">-0.001*F58*F58+0.339*F58+2.575</f>
        <v>22.22316</v>
      </c>
    </row>
    <row r="59" customFormat="false" ht="13.8" hidden="false" customHeight="false" outlineLevel="0" collapsed="false">
      <c r="A59" s="53" t="s">
        <v>15</v>
      </c>
      <c r="B59" s="7" t="n">
        <v>0.416666666666667</v>
      </c>
      <c r="C59" s="8" t="s">
        <v>10</v>
      </c>
      <c r="D59" s="53" t="s">
        <v>130</v>
      </c>
      <c r="E59" s="53" t="s">
        <v>134</v>
      </c>
      <c r="F59" s="54" t="s">
        <v>135</v>
      </c>
      <c r="G59" s="54" t="s">
        <v>136</v>
      </c>
      <c r="H59" s="58" t="n">
        <f aca="false">-0.001*F59*F59+0.339*F59+2.575</f>
        <v>17.263</v>
      </c>
    </row>
    <row r="60" customFormat="false" ht="13.8" hidden="false" customHeight="false" outlineLevel="0" collapsed="false">
      <c r="A60" s="53" t="s">
        <v>15</v>
      </c>
      <c r="B60" s="7" t="n">
        <v>0.416666666666667</v>
      </c>
      <c r="C60" s="8" t="s">
        <v>8</v>
      </c>
      <c r="D60" s="53" t="s">
        <v>130</v>
      </c>
      <c r="E60" s="53" t="s">
        <v>134</v>
      </c>
      <c r="F60" s="54" t="s">
        <v>80</v>
      </c>
      <c r="G60" s="54" t="s">
        <v>137</v>
      </c>
      <c r="H60" s="58" t="n">
        <f aca="false">-0.001*F60*F60+0.339*F60+2.575</f>
        <v>15.049</v>
      </c>
    </row>
    <row r="61" customFormat="false" ht="13.8" hidden="false" customHeight="false" outlineLevel="0" collapsed="false">
      <c r="A61" s="53" t="s">
        <v>15</v>
      </c>
      <c r="B61" s="7" t="n">
        <v>0.416666666666667</v>
      </c>
      <c r="C61" s="8" t="s">
        <v>9</v>
      </c>
      <c r="D61" s="53" t="s">
        <v>130</v>
      </c>
      <c r="E61" s="53" t="s">
        <v>134</v>
      </c>
      <c r="F61" s="54" t="s">
        <v>84</v>
      </c>
      <c r="G61" s="54" t="s">
        <v>138</v>
      </c>
      <c r="H61" s="58" t="n">
        <f aca="false">-0.001*F61*F61+0.339*F61+2.575</f>
        <v>17.025</v>
      </c>
    </row>
    <row r="62" customFormat="false" ht="13.8" hidden="false" customHeight="false" outlineLevel="0" collapsed="false">
      <c r="A62" s="53" t="s">
        <v>15</v>
      </c>
      <c r="B62" s="7" t="n">
        <v>0.5</v>
      </c>
      <c r="C62" s="8" t="s">
        <v>10</v>
      </c>
      <c r="D62" s="53" t="s">
        <v>139</v>
      </c>
      <c r="E62" s="53" t="s">
        <v>140</v>
      </c>
      <c r="F62" s="54" t="s">
        <v>141</v>
      </c>
      <c r="G62" s="54" t="s">
        <v>142</v>
      </c>
      <c r="H62" s="58" t="n">
        <f aca="false">-0.001*F62*F62+0.339*F62+2.575</f>
        <v>15.555</v>
      </c>
    </row>
    <row r="63" customFormat="false" ht="13.8" hidden="false" customHeight="false" outlineLevel="0" collapsed="false">
      <c r="A63" s="53" t="s">
        <v>15</v>
      </c>
      <c r="B63" s="7" t="n">
        <v>0.5</v>
      </c>
      <c r="C63" s="8" t="s">
        <v>8</v>
      </c>
      <c r="D63" s="53" t="s">
        <v>139</v>
      </c>
      <c r="E63" s="53" t="s">
        <v>140</v>
      </c>
      <c r="F63" s="54" t="s">
        <v>143</v>
      </c>
      <c r="G63" s="54" t="s">
        <v>144</v>
      </c>
      <c r="H63" s="58" t="n">
        <f aca="false">-0.001*F63*F63+0.339*F63+2.575</f>
        <v>16.299</v>
      </c>
    </row>
    <row r="64" customFormat="false" ht="13.8" hidden="false" customHeight="false" outlineLevel="0" collapsed="false">
      <c r="A64" s="53" t="s">
        <v>15</v>
      </c>
      <c r="B64" s="7" t="n">
        <v>0.5</v>
      </c>
      <c r="C64" s="8" t="s">
        <v>9</v>
      </c>
      <c r="D64" s="53" t="s">
        <v>139</v>
      </c>
      <c r="E64" s="53" t="s">
        <v>140</v>
      </c>
      <c r="F64" s="54" t="s">
        <v>145</v>
      </c>
      <c r="G64" s="54" t="s">
        <v>146</v>
      </c>
      <c r="H64" s="58" t="n">
        <f aca="false">-0.001*F64*F64+0.339*F64+2.575</f>
        <v>15.35356</v>
      </c>
    </row>
    <row r="65" customFormat="false" ht="13.8" hidden="false" customHeight="false" outlineLevel="0" collapsed="false">
      <c r="A65" s="53" t="s">
        <v>15</v>
      </c>
      <c r="B65" s="7" t="n">
        <v>0.583333333333333</v>
      </c>
      <c r="C65" s="8" t="s">
        <v>10</v>
      </c>
      <c r="D65" s="53" t="s">
        <v>147</v>
      </c>
      <c r="E65" s="53" t="s">
        <v>141</v>
      </c>
      <c r="F65" s="54" t="s">
        <v>87</v>
      </c>
      <c r="G65" s="54" t="s">
        <v>148</v>
      </c>
      <c r="H65" s="58" t="n">
        <f aca="false">-0.001*F65*F65+0.339*F65+2.575</f>
        <v>15.805</v>
      </c>
    </row>
    <row r="66" customFormat="false" ht="13.8" hidden="false" customHeight="false" outlineLevel="0" collapsed="false">
      <c r="A66" s="53" t="s">
        <v>15</v>
      </c>
      <c r="B66" s="7" t="n">
        <v>0.583333333333333</v>
      </c>
      <c r="C66" s="8" t="s">
        <v>8</v>
      </c>
      <c r="D66" s="53" t="s">
        <v>147</v>
      </c>
      <c r="E66" s="53" t="s">
        <v>141</v>
      </c>
      <c r="F66" s="54" t="s">
        <v>149</v>
      </c>
      <c r="G66" s="54" t="s">
        <v>150</v>
      </c>
      <c r="H66" s="58" t="n">
        <f aca="false">-0.001*F66*F66+0.339*F66+2.575</f>
        <v>16.053</v>
      </c>
    </row>
    <row r="67" customFormat="false" ht="13.8" hidden="false" customHeight="false" outlineLevel="0" collapsed="false">
      <c r="A67" s="53" t="s">
        <v>15</v>
      </c>
      <c r="B67" s="7" t="n">
        <v>0.583333333333333</v>
      </c>
      <c r="C67" s="8" t="s">
        <v>9</v>
      </c>
      <c r="D67" s="53" t="s">
        <v>147</v>
      </c>
      <c r="E67" s="53" t="s">
        <v>141</v>
      </c>
      <c r="F67" s="54" t="s">
        <v>137</v>
      </c>
      <c r="G67" s="54" t="s">
        <v>151</v>
      </c>
      <c r="H67" s="58" t="n">
        <f aca="false">-0.001*F67*F67+0.339*F67+2.575</f>
        <v>16.15164</v>
      </c>
    </row>
    <row r="68" customFormat="false" ht="13.8" hidden="false" customHeight="false" outlineLevel="0" collapsed="false">
      <c r="A68" s="53" t="s">
        <v>15</v>
      </c>
      <c r="B68" s="7" t="n">
        <v>0.666666666666667</v>
      </c>
      <c r="C68" s="23" t="s">
        <v>10</v>
      </c>
      <c r="D68" s="53" t="s">
        <v>152</v>
      </c>
      <c r="E68" s="53" t="s">
        <v>153</v>
      </c>
      <c r="F68" s="54" t="s">
        <v>154</v>
      </c>
      <c r="G68" s="54" t="s">
        <v>45</v>
      </c>
      <c r="H68" s="58" t="n">
        <f aca="false">-0.001*F68*F68+0.339*F68+2.575</f>
        <v>20.28025</v>
      </c>
    </row>
    <row r="69" customFormat="false" ht="13.8" hidden="false" customHeight="false" outlineLevel="0" collapsed="false">
      <c r="A69" s="53" t="s">
        <v>15</v>
      </c>
      <c r="B69" s="7" t="n">
        <v>0.666666666666667</v>
      </c>
      <c r="C69" s="23" t="s">
        <v>8</v>
      </c>
      <c r="D69" s="53" t="s">
        <v>152</v>
      </c>
      <c r="E69" s="53" t="s">
        <v>153</v>
      </c>
      <c r="F69" s="54" t="s">
        <v>155</v>
      </c>
      <c r="G69" s="54" t="s">
        <v>45</v>
      </c>
      <c r="H69" s="58" t="n">
        <f aca="false">-0.001*F69*F69+0.339*F69+2.575</f>
        <v>19.02861</v>
      </c>
    </row>
    <row r="70" customFormat="false" ht="13.8" hidden="false" customHeight="false" outlineLevel="0" collapsed="false">
      <c r="A70" s="53" t="s">
        <v>15</v>
      </c>
      <c r="B70" s="7" t="n">
        <v>0.666666666666667</v>
      </c>
      <c r="C70" s="23" t="s">
        <v>9</v>
      </c>
      <c r="D70" s="53" t="s">
        <v>152</v>
      </c>
      <c r="E70" s="53" t="s">
        <v>153</v>
      </c>
      <c r="F70" s="54" t="s">
        <v>156</v>
      </c>
      <c r="G70" s="54" t="s">
        <v>93</v>
      </c>
      <c r="H70" s="58" t="n">
        <f aca="false">-0.001*F70*F70+0.339*F70+2.575</f>
        <v>18.58141</v>
      </c>
    </row>
    <row r="71" customFormat="false" ht="13.8" hidden="false" customHeight="false" outlineLevel="0" collapsed="false">
      <c r="A71" s="53" t="s">
        <v>15</v>
      </c>
      <c r="B71" s="7" t="n">
        <v>0.75</v>
      </c>
      <c r="C71" s="23" t="s">
        <v>10</v>
      </c>
      <c r="D71" s="53" t="s">
        <v>24</v>
      </c>
      <c r="E71" s="53" t="s">
        <v>129</v>
      </c>
      <c r="F71" s="54" t="s">
        <v>157</v>
      </c>
      <c r="G71" s="54" t="s">
        <v>158</v>
      </c>
      <c r="H71" s="58" t="n">
        <f aca="false">-0.001*F71*F71+0.339*F71+2.575</f>
        <v>22.48804</v>
      </c>
    </row>
    <row r="72" customFormat="false" ht="13.8" hidden="false" customHeight="false" outlineLevel="0" collapsed="false">
      <c r="A72" s="53" t="s">
        <v>15</v>
      </c>
      <c r="B72" s="7" t="n">
        <v>0.75</v>
      </c>
      <c r="C72" s="23" t="s">
        <v>8</v>
      </c>
      <c r="D72" s="53" t="s">
        <v>24</v>
      </c>
      <c r="E72" s="53" t="s">
        <v>129</v>
      </c>
      <c r="F72" s="54" t="s">
        <v>159</v>
      </c>
      <c r="G72" s="54" t="s">
        <v>160</v>
      </c>
      <c r="H72" s="58" t="n">
        <f aca="false">-0.001*F72*F72+0.339*F72+2.575</f>
        <v>21.003</v>
      </c>
    </row>
    <row r="73" customFormat="false" ht="13.8" hidden="false" customHeight="false" outlineLevel="0" collapsed="false">
      <c r="A73" s="53" t="s">
        <v>15</v>
      </c>
      <c r="B73" s="7" t="n">
        <v>0.75</v>
      </c>
      <c r="C73" s="23" t="s">
        <v>9</v>
      </c>
      <c r="D73" s="53" t="s">
        <v>24</v>
      </c>
      <c r="E73" s="53" t="s">
        <v>129</v>
      </c>
      <c r="F73" s="54" t="s">
        <v>161</v>
      </c>
      <c r="G73" s="54" t="s">
        <v>158</v>
      </c>
      <c r="H73" s="58" t="n">
        <f aca="false">-0.001*F73*F73+0.339*F73+2.575</f>
        <v>20.46844</v>
      </c>
    </row>
    <row r="74" customFormat="false" ht="13.8" hidden="false" customHeight="false" outlineLevel="0" collapsed="false">
      <c r="A74" s="53" t="s">
        <v>16</v>
      </c>
      <c r="B74" s="7" t="n">
        <v>0.333333333333333</v>
      </c>
      <c r="C74" s="23" t="s">
        <v>10</v>
      </c>
      <c r="D74" s="53" t="s">
        <v>162</v>
      </c>
      <c r="E74" s="53" t="s">
        <v>163</v>
      </c>
      <c r="F74" s="54" t="s">
        <v>164</v>
      </c>
      <c r="G74" s="54" t="s">
        <v>165</v>
      </c>
      <c r="H74" s="58" t="n">
        <f aca="false">-0.001*F74*F74+0.339*F74+2.575</f>
        <v>24.499</v>
      </c>
    </row>
    <row r="75" customFormat="false" ht="13.8" hidden="false" customHeight="false" outlineLevel="0" collapsed="false">
      <c r="A75" s="53" t="s">
        <v>16</v>
      </c>
      <c r="B75" s="7" t="n">
        <v>0.333333333333333</v>
      </c>
      <c r="C75" s="23" t="s">
        <v>8</v>
      </c>
      <c r="D75" s="53" t="s">
        <v>162</v>
      </c>
      <c r="E75" s="53" t="s">
        <v>163</v>
      </c>
      <c r="F75" s="54" t="s">
        <v>166</v>
      </c>
      <c r="G75" s="54" t="s">
        <v>114</v>
      </c>
      <c r="H75" s="58" t="n">
        <f aca="false">-0.001*F75*F75+0.339*F75+2.575</f>
        <v>23.115</v>
      </c>
    </row>
    <row r="76" customFormat="false" ht="13.8" hidden="false" customHeight="false" outlineLevel="0" collapsed="false">
      <c r="A76" s="53" t="s">
        <v>16</v>
      </c>
      <c r="B76" s="7" t="n">
        <v>0.333333333333333</v>
      </c>
      <c r="C76" s="23" t="s">
        <v>9</v>
      </c>
      <c r="D76" s="53" t="s">
        <v>162</v>
      </c>
      <c r="E76" s="53" t="s">
        <v>163</v>
      </c>
      <c r="F76" s="54" t="s">
        <v>167</v>
      </c>
      <c r="G76" s="54" t="s">
        <v>165</v>
      </c>
      <c r="H76" s="58" t="n">
        <f aca="false">-0.001*F76*F76+0.339*F76+2.575</f>
        <v>22.45044</v>
      </c>
    </row>
    <row r="77" customFormat="false" ht="13.8" hidden="false" customHeight="false" outlineLevel="0" collapsed="false">
      <c r="A77" s="53" t="s">
        <v>16</v>
      </c>
      <c r="B77" s="7" t="n">
        <v>0.416666666666667</v>
      </c>
      <c r="C77" s="23" t="s">
        <v>10</v>
      </c>
      <c r="D77" s="53" t="s">
        <v>168</v>
      </c>
      <c r="E77" s="53" t="s">
        <v>169</v>
      </c>
      <c r="F77" s="54" t="s">
        <v>149</v>
      </c>
      <c r="G77" s="54" t="s">
        <v>170</v>
      </c>
      <c r="H77" s="58" t="n">
        <f aca="false">-0.001*F77*F77+0.339*F77+2.575</f>
        <v>16.053</v>
      </c>
    </row>
    <row r="78" customFormat="false" ht="13.8" hidden="false" customHeight="false" outlineLevel="0" collapsed="false">
      <c r="A78" s="53" t="s">
        <v>16</v>
      </c>
      <c r="B78" s="7" t="n">
        <v>0.416666666666667</v>
      </c>
      <c r="C78" s="23" t="s">
        <v>8</v>
      </c>
      <c r="D78" s="53" t="s">
        <v>168</v>
      </c>
      <c r="E78" s="53" t="s">
        <v>169</v>
      </c>
      <c r="F78" s="54" t="s">
        <v>87</v>
      </c>
      <c r="G78" s="54" t="s">
        <v>171</v>
      </c>
      <c r="H78" s="58" t="n">
        <f aca="false">-0.001*F78*F78+0.339*F78+2.575</f>
        <v>15.805</v>
      </c>
    </row>
    <row r="79" customFormat="false" ht="13.8" hidden="false" customHeight="false" outlineLevel="0" collapsed="false">
      <c r="A79" s="53" t="s">
        <v>16</v>
      </c>
      <c r="B79" s="7" t="n">
        <v>0.416666666666667</v>
      </c>
      <c r="C79" s="23" t="s">
        <v>9</v>
      </c>
      <c r="D79" s="53" t="s">
        <v>168</v>
      </c>
      <c r="E79" s="53" t="s">
        <v>169</v>
      </c>
      <c r="F79" s="54" t="s">
        <v>172</v>
      </c>
      <c r="G79" s="54" t="s">
        <v>173</v>
      </c>
      <c r="H79" s="58" t="n">
        <f aca="false">-0.001*F79*F79+0.339*F79+2.575</f>
        <v>15.17625</v>
      </c>
    </row>
    <row r="80" customFormat="false" ht="13.8" hidden="false" customHeight="false" outlineLevel="0" collapsed="false">
      <c r="A80" s="53" t="s">
        <v>16</v>
      </c>
      <c r="B80" s="7" t="n">
        <v>0.5</v>
      </c>
      <c r="C80" s="23" t="s">
        <v>10</v>
      </c>
      <c r="D80" s="53" t="s">
        <v>162</v>
      </c>
      <c r="E80" s="53" t="s">
        <v>174</v>
      </c>
      <c r="F80" s="54" t="s">
        <v>164</v>
      </c>
      <c r="G80" s="54" t="s">
        <v>165</v>
      </c>
      <c r="H80" s="58" t="n">
        <f aca="false">-0.001*F80*F80+0.339*F80+2.575</f>
        <v>24.499</v>
      </c>
    </row>
    <row r="81" customFormat="false" ht="13.8" hidden="false" customHeight="false" outlineLevel="0" collapsed="false">
      <c r="A81" s="53" t="s">
        <v>16</v>
      </c>
      <c r="B81" s="7" t="n">
        <v>0.5</v>
      </c>
      <c r="C81" s="23" t="s">
        <v>8</v>
      </c>
      <c r="D81" s="53" t="s">
        <v>162</v>
      </c>
      <c r="E81" s="53" t="s">
        <v>174</v>
      </c>
      <c r="F81" s="54" t="s">
        <v>166</v>
      </c>
      <c r="G81" s="54" t="s">
        <v>114</v>
      </c>
      <c r="H81" s="58" t="n">
        <f aca="false">-0.001*F81*F81+0.339*F81+2.575</f>
        <v>23.115</v>
      </c>
    </row>
    <row r="82" customFormat="false" ht="13.8" hidden="false" customHeight="false" outlineLevel="0" collapsed="false">
      <c r="A82" s="53" t="s">
        <v>16</v>
      </c>
      <c r="B82" s="7" t="n">
        <v>0.5</v>
      </c>
      <c r="C82" s="23" t="s">
        <v>9</v>
      </c>
      <c r="D82" s="53" t="s">
        <v>162</v>
      </c>
      <c r="E82" s="53" t="s">
        <v>174</v>
      </c>
      <c r="F82" s="54" t="s">
        <v>167</v>
      </c>
      <c r="G82" s="54" t="s">
        <v>165</v>
      </c>
      <c r="H82" s="58" t="n">
        <f aca="false">-0.001*F82*F82+0.339*F82+2.575</f>
        <v>22.45044</v>
      </c>
    </row>
    <row r="83" customFormat="false" ht="13.8" hidden="false" customHeight="false" outlineLevel="0" collapsed="false">
      <c r="A83" s="53" t="s">
        <v>16</v>
      </c>
      <c r="B83" s="7" t="n">
        <v>0.583333333333333</v>
      </c>
      <c r="C83" s="23" t="s">
        <v>10</v>
      </c>
      <c r="D83" s="53" t="s">
        <v>168</v>
      </c>
      <c r="E83" s="53" t="s">
        <v>169</v>
      </c>
      <c r="F83" s="54" t="s">
        <v>149</v>
      </c>
      <c r="G83" s="54" t="s">
        <v>170</v>
      </c>
      <c r="H83" s="58" t="n">
        <f aca="false">-0.001*F83*F83+0.339*F83+2.575</f>
        <v>16.053</v>
      </c>
    </row>
    <row r="84" customFormat="false" ht="13.8" hidden="false" customHeight="false" outlineLevel="0" collapsed="false">
      <c r="A84" s="53" t="s">
        <v>16</v>
      </c>
      <c r="B84" s="7" t="n">
        <v>0.583333333333333</v>
      </c>
      <c r="C84" s="23" t="s">
        <v>8</v>
      </c>
      <c r="D84" s="53" t="s">
        <v>168</v>
      </c>
      <c r="E84" s="53" t="s">
        <v>169</v>
      </c>
      <c r="F84" s="54" t="s">
        <v>87</v>
      </c>
      <c r="G84" s="54" t="s">
        <v>171</v>
      </c>
      <c r="H84" s="58" t="n">
        <f aca="false">-0.001*F84*F84+0.339*F84+2.575</f>
        <v>15.805</v>
      </c>
    </row>
    <row r="85" customFormat="false" ht="13.8" hidden="false" customHeight="false" outlineLevel="0" collapsed="false">
      <c r="A85" s="53" t="s">
        <v>16</v>
      </c>
      <c r="B85" s="7" t="n">
        <v>0.583333333333333</v>
      </c>
      <c r="C85" s="23" t="s">
        <v>9</v>
      </c>
      <c r="D85" s="53" t="s">
        <v>168</v>
      </c>
      <c r="E85" s="53" t="s">
        <v>169</v>
      </c>
      <c r="F85" s="54" t="s">
        <v>172</v>
      </c>
      <c r="G85" s="54" t="s">
        <v>173</v>
      </c>
      <c r="H85" s="58" t="n">
        <f aca="false">-0.001*F85*F85+0.339*F85+2.575</f>
        <v>15.17625</v>
      </c>
    </row>
    <row r="86" customFormat="false" ht="13.8" hidden="false" customHeight="false" outlineLevel="0" collapsed="false">
      <c r="A86" s="53" t="s">
        <v>16</v>
      </c>
      <c r="B86" s="7" t="n">
        <v>0.666666666666667</v>
      </c>
      <c r="C86" s="8" t="s">
        <v>10</v>
      </c>
      <c r="D86" s="53" t="s">
        <v>175</v>
      </c>
      <c r="E86" s="53" t="s">
        <v>176</v>
      </c>
      <c r="F86" s="54" t="s">
        <v>93</v>
      </c>
      <c r="G86" s="54" t="s">
        <v>177</v>
      </c>
      <c r="H86" s="58" t="n">
        <f aca="false">-0.001*F86*F86+0.339*F86+2.575</f>
        <v>11.283</v>
      </c>
    </row>
    <row r="87" customFormat="false" ht="13.8" hidden="false" customHeight="false" outlineLevel="0" collapsed="false">
      <c r="A87" s="53" t="s">
        <v>16</v>
      </c>
      <c r="B87" s="7" t="n">
        <v>0.666666666666667</v>
      </c>
      <c r="C87" s="8" t="s">
        <v>8</v>
      </c>
      <c r="D87" s="53" t="s">
        <v>175</v>
      </c>
      <c r="E87" s="53" t="s">
        <v>176</v>
      </c>
      <c r="F87" s="54" t="s">
        <v>178</v>
      </c>
      <c r="G87" s="54" t="s">
        <v>179</v>
      </c>
      <c r="H87" s="58" t="n">
        <f aca="false">-0.001*F87*F87+0.339*F87+2.575</f>
        <v>11.05596</v>
      </c>
    </row>
    <row r="88" customFormat="false" ht="13.8" hidden="false" customHeight="false" outlineLevel="0" collapsed="false">
      <c r="A88" s="53" t="s">
        <v>16</v>
      </c>
      <c r="B88" s="7" t="n">
        <v>0.666666666666667</v>
      </c>
      <c r="C88" s="8" t="s">
        <v>9</v>
      </c>
      <c r="D88" s="53" t="s">
        <v>175</v>
      </c>
      <c r="E88" s="53" t="s">
        <v>176</v>
      </c>
      <c r="F88" s="54" t="s">
        <v>152</v>
      </c>
      <c r="G88" s="54" t="s">
        <v>180</v>
      </c>
      <c r="H88" s="58" t="n">
        <f aca="false">-0.001*F88*F88+0.339*F88+2.575</f>
        <v>10.91341</v>
      </c>
    </row>
    <row r="89" customFormat="false" ht="12.8" hidden="false" customHeight="false" outlineLevel="0" collapsed="false">
      <c r="A89" s="2"/>
    </row>
    <row r="90" customFormat="false" ht="12.8" hidden="false" customHeight="false" outlineLevel="0" collapsed="false">
      <c r="A90" s="2"/>
    </row>
    <row r="91" customFormat="false" ht="12.8" hidden="false" customHeight="false" outlineLevel="0" collapsed="false">
      <c r="A91" s="2"/>
    </row>
    <row r="92" customFormat="false" ht="12.8" hidden="false" customHeight="false" outlineLevel="0" collapsed="false">
      <c r="A92" s="2"/>
    </row>
    <row r="93" customFormat="false" ht="12.8" hidden="false" customHeight="false" outlineLevel="0" collapsed="false">
      <c r="A93" s="2"/>
    </row>
    <row r="94" customFormat="false" ht="12.8" hidden="false" customHeight="false" outlineLevel="0" collapsed="false">
      <c r="A94" s="2"/>
    </row>
    <row r="95" customFormat="false" ht="12.8" hidden="false" customHeight="false" outlineLevel="0" collapsed="false">
      <c r="A95" s="2"/>
    </row>
    <row r="96" customFormat="false" ht="12.8" hidden="false" customHeight="false" outlineLevel="0" collapsed="false">
      <c r="A96" s="2"/>
    </row>
    <row r="97" customFormat="false" ht="12.8" hidden="false" customHeight="false" outlineLevel="0" collapsed="false">
      <c r="A97" s="2"/>
    </row>
    <row r="98" customFormat="false" ht="12.8" hidden="false" customHeight="false" outlineLevel="0" collapsed="false">
      <c r="A98" s="2"/>
    </row>
    <row r="99" customFormat="false" ht="12.8" hidden="false" customHeight="false" outlineLevel="0" collapsed="false">
      <c r="A99" s="2"/>
    </row>
    <row r="100" customFormat="false" ht="12.8" hidden="false" customHeight="false" outlineLevel="0" collapsed="false">
      <c r="A100" s="2"/>
    </row>
    <row r="101" customFormat="false" ht="12.8" hidden="false" customHeight="false" outlineLevel="0" collapsed="false">
      <c r="A101" s="2"/>
    </row>
    <row r="102" customFormat="false" ht="12.8" hidden="false" customHeight="false" outlineLevel="0" collapsed="false">
      <c r="A102" s="2"/>
    </row>
    <row r="103" customFormat="false" ht="12.8" hidden="false" customHeight="false" outlineLevel="0" collapsed="false">
      <c r="A103" s="2"/>
    </row>
    <row r="104" customFormat="false" ht="12.8" hidden="false" customHeight="false" outlineLevel="0" collapsed="false">
      <c r="A104" s="2"/>
    </row>
    <row r="105" customFormat="false" ht="12.8" hidden="false" customHeight="false" outlineLevel="0" collapsed="false">
      <c r="A105" s="2"/>
    </row>
    <row r="106" customFormat="false" ht="12.8" hidden="false" customHeight="false" outlineLevel="0" collapsed="false">
      <c r="A106" s="2"/>
    </row>
    <row r="107" customFormat="false" ht="12.8" hidden="false" customHeight="false" outlineLevel="0" collapsed="false">
      <c r="A107" s="2"/>
    </row>
    <row r="108" customFormat="false" ht="12.8" hidden="false" customHeight="false" outlineLevel="0" collapsed="false">
      <c r="A108" s="2"/>
    </row>
    <row r="109" customFormat="false" ht="12.8" hidden="false" customHeight="false" outlineLevel="0" collapsed="false">
      <c r="A109" s="2"/>
    </row>
    <row r="110" customFormat="false" ht="12.8" hidden="false" customHeight="false" outlineLevel="0" collapsed="false">
      <c r="A110" s="2"/>
    </row>
    <row r="111" customFormat="false" ht="12.8" hidden="false" customHeight="false" outlineLevel="0" collapsed="false">
      <c r="A111" s="2"/>
    </row>
    <row r="112" customFormat="false" ht="12.8" hidden="false" customHeight="false" outlineLevel="0" collapsed="false">
      <c r="A112" s="2"/>
    </row>
    <row r="113" customFormat="false" ht="12.8" hidden="false" customHeight="false" outlineLevel="0" collapsed="false">
      <c r="A113" s="2"/>
    </row>
    <row r="114" customFormat="false" ht="12.8" hidden="false" customHeight="false" outlineLevel="0" collapsed="false">
      <c r="A1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2025-11-20T21:09:16Z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